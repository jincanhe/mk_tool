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F:\CeHua\数值表\master\"/>
    </mc:Choice>
  </mc:AlternateContent>
  <xr:revisionPtr revIDLastSave="0" documentId="13_ncr:1_{FEC843C7-503C-4C8F-B4E0-F5E9A6743FE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_vip" sheetId="1" r:id="rId1"/>
    <sheet name="t_vip_upgrade" sheetId="3" r:id="rId2"/>
    <sheet name="t_vip_upgrade_tips" sheetId="6" r:id="rId3"/>
    <sheet name="t_vip_text" sheetId="2" r:id="rId4"/>
    <sheet name="规划（弃用）" sheetId="4" r:id="rId5"/>
    <sheet name="属性说明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3" l="1"/>
  <c r="B25" i="3"/>
  <c r="H24" i="3"/>
  <c r="G24" i="3"/>
  <c r="F24" i="3"/>
  <c r="B24" i="3"/>
  <c r="H23" i="3"/>
  <c r="G23" i="3"/>
  <c r="F23" i="3"/>
  <c r="B23" i="3"/>
  <c r="H22" i="3"/>
  <c r="G22" i="3"/>
  <c r="F22" i="3"/>
  <c r="B22" i="3"/>
  <c r="H21" i="3"/>
  <c r="G21" i="3"/>
  <c r="F21" i="3"/>
  <c r="B21" i="3"/>
  <c r="H20" i="3"/>
  <c r="G20" i="3"/>
  <c r="F20" i="3"/>
  <c r="B20" i="3"/>
  <c r="H19" i="3"/>
  <c r="G19" i="3"/>
  <c r="F19" i="3"/>
  <c r="B19" i="3"/>
  <c r="H18" i="3"/>
  <c r="G18" i="3"/>
  <c r="F18" i="3"/>
  <c r="B18" i="3"/>
  <c r="H17" i="3"/>
  <c r="G17" i="3"/>
  <c r="F17" i="3"/>
  <c r="B17" i="3"/>
  <c r="H16" i="3"/>
  <c r="G16" i="3"/>
  <c r="F16" i="3"/>
  <c r="B16" i="3"/>
  <c r="H15" i="3"/>
  <c r="G15" i="3"/>
  <c r="F15" i="3"/>
  <c r="B15" i="3"/>
  <c r="H14" i="3"/>
  <c r="G14" i="3"/>
  <c r="F14" i="3"/>
  <c r="B14" i="3"/>
  <c r="H13" i="3"/>
  <c r="G13" i="3"/>
  <c r="F13" i="3"/>
  <c r="B13" i="3"/>
  <c r="H12" i="3"/>
  <c r="G12" i="3"/>
  <c r="F12" i="3"/>
  <c r="B12" i="3"/>
  <c r="H11" i="3"/>
  <c r="G11" i="3"/>
  <c r="F11" i="3"/>
  <c r="B11" i="3"/>
  <c r="H10" i="3"/>
  <c r="G10" i="3"/>
  <c r="F10" i="3"/>
  <c r="B10" i="3"/>
  <c r="H9" i="3"/>
  <c r="G9" i="3"/>
  <c r="F9" i="3"/>
  <c r="B9" i="3"/>
  <c r="H8" i="3"/>
  <c r="G8" i="3"/>
  <c r="F8" i="3"/>
  <c r="B8" i="3"/>
  <c r="H7" i="3"/>
  <c r="G7" i="3"/>
  <c r="F7" i="3"/>
  <c r="B7" i="3"/>
  <c r="H6" i="3"/>
  <c r="G6" i="3"/>
  <c r="F6" i="3"/>
  <c r="B6" i="3"/>
  <c r="H5" i="3"/>
  <c r="G5" i="3"/>
  <c r="B5" i="3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H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万分比</t>
        </r>
      </text>
    </comment>
    <comment ref="L1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万分比</t>
        </r>
      </text>
    </comment>
    <comment ref="M1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万分比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1" authorId="0" shapeId="0" xr:uid="{00000000-0006-0000-0300-000001000000}">
      <text>
        <r>
          <rPr>
            <b/>
            <sz val="9"/>
            <rFont val="宋体"/>
            <family val="3"/>
            <charset val="134"/>
          </rPr>
          <t xml:space="preserve">Administrator
</t>
        </r>
        <r>
          <rPr>
            <sz val="9"/>
            <rFont val="宋体"/>
            <family val="3"/>
            <charset val="134"/>
          </rPr>
          <t>用同样字母代表数字
按照字母顺序读取数组</t>
        </r>
      </text>
    </comment>
  </commentList>
</comments>
</file>

<file path=xl/sharedStrings.xml><?xml version="1.0" encoding="utf-8"?>
<sst xmlns="http://schemas.openxmlformats.org/spreadsheetml/2006/main" count="333" uniqueCount="189">
  <si>
    <t>t_vip</t>
  </si>
  <si>
    <t>[index]</t>
  </si>
  <si>
    <t>vip等级</t>
  </si>
  <si>
    <t>每日钻石快速挂机次数</t>
  </si>
  <si>
    <t>荆州商店刷新次数+X次</t>
  </si>
  <si>
    <t>银币副本元宝扫荡次数+X次</t>
  </si>
  <si>
    <t>英雄背包数量+X</t>
  </si>
  <si>
    <t>税金征收奖励+X%</t>
  </si>
  <si>
    <t>经验副本元宝扫荡次数+X次</t>
  </si>
  <si>
    <t>最大可累计挂机时长+X小时</t>
  </si>
  <si>
    <t>解锁【跳过战斗】</t>
  </si>
  <si>
    <t>挂机额外获得英雄经验+X%</t>
  </si>
  <si>
    <t>挂机额外获得金币+X%</t>
  </si>
  <si>
    <t>游历值上限+X</t>
  </si>
  <si>
    <t>竞技场挑战令可购买次数+X</t>
  </si>
  <si>
    <t>解锁【一键派遣】</t>
  </si>
  <si>
    <t>解锁【自动购买】</t>
  </si>
  <si>
    <t>解锁无尽城堡【自动战斗】</t>
  </si>
  <si>
    <t>code</t>
  </si>
  <si>
    <t>hangupQuickDailyBuyTimes</t>
  </si>
  <si>
    <t>jingZhouShopRefreshNum</t>
  </si>
  <si>
    <t>silverFubenSweepNum</t>
  </si>
  <si>
    <t>bagCapacity</t>
  </si>
  <si>
    <t>goldRewards</t>
  </si>
  <si>
    <t>expFubenSweepNum</t>
  </si>
  <si>
    <t>hangupAddDuration</t>
  </si>
  <si>
    <t>unlockSkipBattle</t>
  </si>
  <si>
    <t>hangupHeroExpNum</t>
  </si>
  <si>
    <t>hangupGoldNum</t>
  </si>
  <si>
    <t>appointLimitAdd</t>
  </si>
  <si>
    <t>arenaBuyNum</t>
  </si>
  <si>
    <t>quickDispatch</t>
  </si>
  <si>
    <t>maticPurchase</t>
  </si>
  <si>
    <t>unlockAutoBattle</t>
  </si>
  <si>
    <t>CLIENT</t>
  </si>
  <si>
    <t>int</t>
  </si>
  <si>
    <t>SERVER</t>
  </si>
  <si>
    <t>对应文本</t>
  </si>
  <si>
    <t>是否显示</t>
  </si>
  <si>
    <t>t_vip_upgrade</t>
  </si>
  <si>
    <t>名字</t>
  </si>
  <si>
    <t>升级经验</t>
  </si>
  <si>
    <t>上一级</t>
  </si>
  <si>
    <t>下一级</t>
  </si>
  <si>
    <t>经验槽显示</t>
  </si>
  <si>
    <t>顶部描述图片</t>
  </si>
  <si>
    <t>物品图标</t>
  </si>
  <si>
    <t>物品描述</t>
  </si>
  <si>
    <t>最多能显示的VIP等级(以当前等级往下偏移)</t>
  </si>
  <si>
    <t>level</t>
  </si>
  <si>
    <t>name</t>
  </si>
  <si>
    <t>exp</t>
  </si>
  <si>
    <t>preCode</t>
  </si>
  <si>
    <t>nextCode</t>
  </si>
  <si>
    <t>expView</t>
  </si>
  <si>
    <t>slogonPic</t>
  </si>
  <si>
    <t>itemIcon</t>
  </si>
  <si>
    <t>itemDesc</t>
  </si>
  <si>
    <t>maxShowVipLevel</t>
  </si>
  <si>
    <t>string</t>
  </si>
  <si>
    <t>VIP0</t>
  </si>
  <si>
    <t>rechargeShop/ui/vipSlogon/viptq_img_vip1</t>
  </si>
  <si>
    <t>icon/common_icon_jinbi</t>
  </si>
  <si>
    <t>大量金币</t>
  </si>
  <si>
    <t>VIP1</t>
  </si>
  <si>
    <t>rechargeShop/ui/vipSlogon/viptq_img_vip2</t>
  </si>
  <si>
    <t>icon/common_icon_tps</t>
  </si>
  <si>
    <t>突破石</t>
  </si>
  <si>
    <t>VIP2</t>
  </si>
  <si>
    <t>rechargeShop/ui/vipSlogon/viptq_img_vip3</t>
  </si>
  <si>
    <t>icon/common_icon_yqd</t>
  </si>
  <si>
    <t>友情积分</t>
  </si>
  <si>
    <t>VIP3</t>
  </si>
  <si>
    <t>rechargeShop/ui/vipSlogon/viptq_img_vip4</t>
  </si>
  <si>
    <t>zhuangbei/common_icon_zbtz_403</t>
  </si>
  <si>
    <t>紫色铠甲</t>
  </si>
  <si>
    <t>VIP4</t>
  </si>
  <si>
    <t>rechargeShop/ui/vipSlogon/viptq_img_vip5</t>
  </si>
  <si>
    <t>icon/common_icon_dhscq</t>
  </si>
  <si>
    <t>刷新券</t>
  </si>
  <si>
    <t>VIP5</t>
  </si>
  <si>
    <t>rechargeShop/ui/vipSlogon/viptq_img_vip6</t>
  </si>
  <si>
    <t>icon/common_icon_zuanshi</t>
  </si>
  <si>
    <t>钻石</t>
  </si>
  <si>
    <t>VIP6</t>
  </si>
  <si>
    <t>rechargeShop/ui/vipSlogon/viptq_img_vip7</t>
  </si>
  <si>
    <t>icon/common_icon_hlqy</t>
  </si>
  <si>
    <t>唤灵契约</t>
  </si>
  <si>
    <t>VIP7</t>
  </si>
  <si>
    <t>rechargeShop/ui/vipSlogon/viptq_img_vip8</t>
  </si>
  <si>
    <t>icon/common_icon_yljj</t>
  </si>
  <si>
    <t>驭龙结晶</t>
  </si>
  <si>
    <t>VIP8</t>
  </si>
  <si>
    <t>rechargeShop/ui/vipSlogon/viptq_img_vip9</t>
  </si>
  <si>
    <t>icon/common_icon_sjyxsp3</t>
  </si>
  <si>
    <t>5星英雄</t>
  </si>
  <si>
    <t>VIP9</t>
  </si>
  <si>
    <t>rechargeShop/ui/vipSlogon/viptq_img_vip10</t>
  </si>
  <si>
    <t>icon/common_icon_yxsxg2</t>
  </si>
  <si>
    <t>6星魂玉(全)</t>
  </si>
  <si>
    <t>VIP10</t>
  </si>
  <si>
    <t>rechargeShop/ui/vipSlogon/viptq_img_vip11</t>
  </si>
  <si>
    <t>8星魂玉(全)</t>
  </si>
  <si>
    <t>VIP11</t>
  </si>
  <si>
    <t>rechargeShop/ui/vipSlogon/viptq_img_vip12</t>
  </si>
  <si>
    <t>icon/common_icon_yxzx2</t>
  </si>
  <si>
    <t>SS+核心英雄</t>
  </si>
  <si>
    <t>VIP12</t>
  </si>
  <si>
    <t>rechargeShop/ui/vipSlogon/viptq_img_vip13</t>
  </si>
  <si>
    <t>VIP13</t>
  </si>
  <si>
    <t>rechargeShop/ui/vipSlogon/viptq_img_vip14</t>
  </si>
  <si>
    <t>VIP14</t>
  </si>
  <si>
    <t>rechargeShop/ui/vipSlogon/viptq_img_vip15</t>
  </si>
  <si>
    <t>VIP15</t>
  </si>
  <si>
    <t>rechargeShop/ui/vipSlogon/viptq_img_vip16</t>
  </si>
  <si>
    <t>VIP16</t>
  </si>
  <si>
    <t>rechargeShop/ui/vipSlogon/viptq_img_vip17</t>
  </si>
  <si>
    <t>VIP17</t>
  </si>
  <si>
    <t>rechargeShop/ui/vipSlogon/viptq_img_vip18</t>
  </si>
  <si>
    <t>VIP18</t>
  </si>
  <si>
    <t>rechargeShop/ui/vipSlogon/viptq_img_vip19</t>
  </si>
  <si>
    <t>VIP19</t>
  </si>
  <si>
    <t>rechargeShop/ui/vipSlogon/viptq_img_vip20</t>
  </si>
  <si>
    <t>VIP20</t>
  </si>
  <si>
    <t>t_vip_upgrade_tips</t>
  </si>
  <si>
    <t>关卡id</t>
  </si>
  <si>
    <t>描述</t>
  </si>
  <si>
    <t>adventureLevel</t>
  </si>
  <si>
    <t>viplevel</t>
  </si>
  <si>
    <t>通关2-5送VIP2</t>
  </si>
  <si>
    <t>通关3-5送VIP3</t>
  </si>
  <si>
    <t>通关4-5送VIP4</t>
  </si>
  <si>
    <t>通关5-5送VIP5</t>
  </si>
  <si>
    <t>t_vip_text</t>
  </si>
  <si>
    <t>文本</t>
  </si>
  <si>
    <t>text</t>
  </si>
  <si>
    <t>精灵商会购买次数：s</t>
  </si>
  <si>
    <t>点金术次数：s</t>
  </si>
  <si>
    <t>挂机经验加成：s</t>
  </si>
  <si>
    <t>挂机金币加成：s</t>
  </si>
  <si>
    <t>全体攻击：s，全体增伤：s</t>
  </si>
  <si>
    <t>全体生命：s，全体免伤：s</t>
  </si>
  <si>
    <t>挂机加速购买次数s次</t>
  </si>
  <si>
    <t>精选商店刷新次数s次</t>
  </si>
  <si>
    <t>金币试炼钻石扫荡次数s次</t>
  </si>
  <si>
    <t>英雄背包数量s</t>
  </si>
  <si>
    <t>点金术奖励s</t>
  </si>
  <si>
    <t>经验试炼钻石扫荡次数s次</t>
  </si>
  <si>
    <t>最大可累计挂机时长s小时</t>
  </si>
  <si>
    <t>挂机额外获得英雄经验s</t>
  </si>
  <si>
    <t>挂机额外获得金币s</t>
  </si>
  <si>
    <t>委任点上限s</t>
  </si>
  <si>
    <t>竞技场挑战令可购买次数s</t>
  </si>
  <si>
    <t>解锁【一键派遣】功能</t>
  </si>
  <si>
    <t>解锁商店【自动购买】功能</t>
  </si>
  <si>
    <t>解锁无尽城堡【自动战斗】功能</t>
  </si>
  <si>
    <t>总经验</t>
  </si>
  <si>
    <t>精灵商会刷新次数</t>
  </si>
  <si>
    <t>点金术兑换次数</t>
  </si>
  <si>
    <t>挂机经验加成</t>
  </si>
  <si>
    <t>挂机金币加成</t>
  </si>
  <si>
    <t>属性加成</t>
  </si>
  <si>
    <t>数值</t>
  </si>
  <si>
    <t>描述条目</t>
  </si>
  <si>
    <t>黑市商人购买次数+N</t>
  </si>
  <si>
    <t>点金术兑换次数+N</t>
  </si>
  <si>
    <t>挂机经验加成+N</t>
  </si>
  <si>
    <t>全体攻击+M，伤害加成+N</t>
  </si>
  <si>
    <t>全体攻击</t>
  </si>
  <si>
    <t>增伤</t>
  </si>
  <si>
    <t>全体生命</t>
  </si>
  <si>
    <t>免伤</t>
  </si>
  <si>
    <t>全体生命+M，伤害减免+N</t>
  </si>
  <si>
    <t>全局攻击</t>
  </si>
  <si>
    <t>全局生命</t>
  </si>
  <si>
    <t>初始</t>
  </si>
  <si>
    <t>※属性加成中增免伤独立作用</t>
  </si>
  <si>
    <t>属性code</t>
  </si>
  <si>
    <t>属性描述</t>
  </si>
  <si>
    <t>全体增伤</t>
  </si>
  <si>
    <t>全体免伤</t>
  </si>
  <si>
    <t>赤铜赦令</t>
  </si>
  <si>
    <t>辉金誓约</t>
  </si>
  <si>
    <t>神话物品自选箱II</t>
  </si>
  <si>
    <t>鎏金王权</t>
  </si>
  <si>
    <t>icon/common_icon_shwpzx</t>
  </si>
  <si>
    <t>icon/common_icon_qpk2</t>
  </si>
  <si>
    <t>icon/common_icon_qpk3</t>
  </si>
  <si>
    <t>icon/common_icon_qpk4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</si>
</sst>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  <scheme val="minor"/>
    </font>
    <font>
      <sz val="11"/>
      <color theme="0"/>
      <name val="宋体"/>
      <family val="3"/>
      <charset val="134"/>
      <scheme val="minor"/>
    </font>
    <font>
      <sz val="10"/>
      <color theme="0"/>
      <name val="宋体"/>
      <family val="3"/>
      <charset val="134"/>
    </font>
    <font>
      <sz val="11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0"/>
      <color theme="0"/>
      <name val="微软雅黑"/>
      <family val="2"/>
      <charset val="134"/>
    </font>
    <font>
      <sz val="11"/>
      <color theme="0"/>
      <name val="微软雅黑"/>
      <family val="2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3999145481734672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>
      <alignment vertical="center"/>
    </xf>
  </cellStyleXfs>
  <cellXfs count="3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3" borderId="1" xfId="0" applyFont="1" applyFill="1" applyBorder="1">
      <alignment vertical="center"/>
    </xf>
    <xf numFmtId="0" fontId="1" fillId="3" borderId="2" xfId="0" applyFont="1" applyFill="1" applyBorder="1">
      <alignment vertical="center"/>
    </xf>
    <xf numFmtId="0" fontId="2" fillId="4" borderId="2" xfId="0" applyFont="1" applyFill="1" applyBorder="1" applyAlignment="1"/>
    <xf numFmtId="0" fontId="0" fillId="0" borderId="3" xfId="0" applyBorder="1">
      <alignment vertical="center"/>
    </xf>
    <xf numFmtId="0" fontId="9" fillId="5" borderId="0" xfId="2" applyFill="1">
      <alignment vertical="center"/>
    </xf>
    <xf numFmtId="0" fontId="0" fillId="5" borderId="0" xfId="0" applyFill="1">
      <alignment vertical="center"/>
    </xf>
    <xf numFmtId="9" fontId="0" fillId="0" borderId="0" xfId="0" applyNumberFormat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9" fillId="5" borderId="5" xfId="2" applyFill="1" applyBorder="1">
      <alignment vertical="center"/>
    </xf>
    <xf numFmtId="0" fontId="0" fillId="5" borderId="5" xfId="0" applyFill="1" applyBorder="1">
      <alignment vertical="center"/>
    </xf>
    <xf numFmtId="9" fontId="0" fillId="0" borderId="5" xfId="0" applyNumberFormat="1" applyBorder="1">
      <alignment vertical="center"/>
    </xf>
    <xf numFmtId="0" fontId="1" fillId="3" borderId="6" xfId="0" applyFont="1" applyFill="1" applyBorder="1">
      <alignment vertical="center"/>
    </xf>
    <xf numFmtId="9" fontId="0" fillId="0" borderId="7" xfId="0" applyNumberFormat="1" applyBorder="1">
      <alignment vertical="center"/>
    </xf>
    <xf numFmtId="9" fontId="0" fillId="0" borderId="0" xfId="1" applyFont="1">
      <alignment vertical="center"/>
    </xf>
    <xf numFmtId="9" fontId="0" fillId="0" borderId="7" xfId="1" applyFont="1" applyBorder="1">
      <alignment vertical="center"/>
    </xf>
    <xf numFmtId="9" fontId="0" fillId="0" borderId="5" xfId="1" applyFont="1" applyBorder="1">
      <alignment vertical="center"/>
    </xf>
    <xf numFmtId="9" fontId="0" fillId="0" borderId="8" xfId="1" applyFont="1" applyBorder="1">
      <alignment vertical="center"/>
    </xf>
    <xf numFmtId="0" fontId="0" fillId="0" borderId="2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4" borderId="0" xfId="0" applyFill="1">
      <alignment vertical="center"/>
    </xf>
    <xf numFmtId="0" fontId="2" fillId="4" borderId="0" xfId="0" applyFont="1" applyFill="1" applyAlignment="1"/>
    <xf numFmtId="0" fontId="1" fillId="4" borderId="0" xfId="0" applyFont="1" applyFill="1">
      <alignment vertical="center"/>
    </xf>
    <xf numFmtId="0" fontId="3" fillId="0" borderId="0" xfId="2" applyFont="1">
      <alignment vertical="center"/>
    </xf>
    <xf numFmtId="0" fontId="4" fillId="4" borderId="0" xfId="0" applyFont="1" applyFill="1">
      <alignment vertical="center"/>
    </xf>
    <xf numFmtId="0" fontId="4" fillId="0" borderId="0" xfId="0" applyFont="1">
      <alignment vertical="center"/>
    </xf>
    <xf numFmtId="0" fontId="5" fillId="4" borderId="0" xfId="0" applyFont="1" applyFill="1" applyAlignment="1"/>
    <xf numFmtId="0" fontId="6" fillId="4" borderId="0" xfId="0" applyFont="1" applyFill="1">
      <alignment vertical="center"/>
    </xf>
    <xf numFmtId="0" fontId="4" fillId="6" borderId="0" xfId="0" applyFont="1" applyFill="1">
      <alignment vertical="center"/>
    </xf>
    <xf numFmtId="0" fontId="4" fillId="7" borderId="0" xfId="0" applyFont="1" applyFill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3">
    <cellStyle name="百分比" xfId="1" builtinId="5"/>
    <cellStyle name="常规" xfId="0" builtinId="0"/>
    <cellStyle name="常规 6" xfId="2" xr:uid="{00000000-0005-0000-0000-000031000000}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"/>
  <sheetViews>
    <sheetView workbookViewId="0">
      <pane xSplit="3" topLeftCell="D1" activePane="topRight" state="frozen"/>
      <selection pane="topRight" activeCell="R24" sqref="R24"/>
    </sheetView>
  </sheetViews>
  <sheetFormatPr defaultColWidth="9" defaultRowHeight="16.5" x14ac:dyDescent="0.15"/>
  <cols>
    <col min="1" max="3" width="9" style="29"/>
    <col min="4" max="4" width="22.125" style="29" customWidth="1"/>
    <col min="5" max="17" width="26.125" style="29" customWidth="1"/>
    <col min="18" max="18" width="14.875" style="29" customWidth="1"/>
    <col min="19" max="16384" width="9" style="29"/>
  </cols>
  <sheetData>
    <row r="1" spans="1:22" s="28" customFormat="1" x14ac:dyDescent="0.3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14</v>
      </c>
      <c r="P1" s="30" t="s">
        <v>15</v>
      </c>
      <c r="Q1" s="30" t="s">
        <v>16</v>
      </c>
      <c r="R1" s="30" t="s">
        <v>17</v>
      </c>
      <c r="S1" s="30"/>
      <c r="U1" s="30"/>
      <c r="V1" s="30"/>
    </row>
    <row r="2" spans="1:22" s="28" customFormat="1" x14ac:dyDescent="0.35">
      <c r="A2" s="30"/>
      <c r="B2" s="31" t="s">
        <v>18</v>
      </c>
      <c r="C2" s="30"/>
      <c r="D2" s="30" t="s">
        <v>19</v>
      </c>
      <c r="E2" s="30" t="s">
        <v>20</v>
      </c>
      <c r="F2" s="30" t="s">
        <v>21</v>
      </c>
      <c r="G2" s="30" t="s">
        <v>22</v>
      </c>
      <c r="H2" s="30" t="s">
        <v>23</v>
      </c>
      <c r="I2" s="30" t="s">
        <v>24</v>
      </c>
      <c r="J2" s="30" t="s">
        <v>25</v>
      </c>
      <c r="K2" s="30" t="s">
        <v>26</v>
      </c>
      <c r="L2" s="30" t="s">
        <v>27</v>
      </c>
      <c r="M2" s="30" t="s">
        <v>28</v>
      </c>
      <c r="N2" s="30" t="s">
        <v>29</v>
      </c>
      <c r="O2" s="30" t="s">
        <v>30</v>
      </c>
      <c r="P2" s="30" t="s">
        <v>31</v>
      </c>
      <c r="Q2" s="30" t="s">
        <v>32</v>
      </c>
      <c r="R2" s="30" t="s">
        <v>33</v>
      </c>
      <c r="S2" s="30"/>
      <c r="U2" s="30"/>
      <c r="V2" s="30"/>
    </row>
    <row r="3" spans="1:22" s="28" customFormat="1" x14ac:dyDescent="0.35">
      <c r="A3" s="30" t="s">
        <v>34</v>
      </c>
      <c r="B3" s="30" t="s">
        <v>35</v>
      </c>
      <c r="C3" s="30"/>
      <c r="D3" s="30" t="s">
        <v>35</v>
      </c>
      <c r="E3" s="30" t="s">
        <v>35</v>
      </c>
      <c r="F3" s="30" t="s">
        <v>35</v>
      </c>
      <c r="G3" s="30" t="s">
        <v>35</v>
      </c>
      <c r="H3" s="30" t="s">
        <v>35</v>
      </c>
      <c r="I3" s="30" t="s">
        <v>35</v>
      </c>
      <c r="J3" s="30" t="s">
        <v>35</v>
      </c>
      <c r="K3" s="30" t="s">
        <v>35</v>
      </c>
      <c r="L3" s="30" t="s">
        <v>35</v>
      </c>
      <c r="M3" s="30" t="s">
        <v>35</v>
      </c>
      <c r="N3" s="30" t="s">
        <v>35</v>
      </c>
      <c r="O3" s="30" t="s">
        <v>35</v>
      </c>
      <c r="P3" s="30" t="s">
        <v>35</v>
      </c>
      <c r="Q3" s="30" t="s">
        <v>35</v>
      </c>
      <c r="R3" s="30" t="s">
        <v>35</v>
      </c>
      <c r="S3" s="30"/>
      <c r="U3" s="30"/>
      <c r="V3" s="30"/>
    </row>
    <row r="4" spans="1:22" s="28" customFormat="1" x14ac:dyDescent="0.35">
      <c r="A4" s="30" t="s">
        <v>36</v>
      </c>
      <c r="B4" s="30" t="s">
        <v>35</v>
      </c>
      <c r="C4" s="30"/>
      <c r="D4" s="30" t="s">
        <v>35</v>
      </c>
      <c r="E4" s="30" t="s">
        <v>35</v>
      </c>
      <c r="F4" s="30" t="s">
        <v>35</v>
      </c>
      <c r="G4" s="30" t="s">
        <v>35</v>
      </c>
      <c r="H4" s="30" t="s">
        <v>35</v>
      </c>
      <c r="I4" s="30" t="s">
        <v>35</v>
      </c>
      <c r="J4" s="30" t="s">
        <v>35</v>
      </c>
      <c r="K4" s="30" t="s">
        <v>35</v>
      </c>
      <c r="L4" s="30" t="s">
        <v>35</v>
      </c>
      <c r="M4" s="30" t="s">
        <v>35</v>
      </c>
      <c r="N4" s="30" t="s">
        <v>35</v>
      </c>
      <c r="O4" s="30" t="s">
        <v>35</v>
      </c>
      <c r="P4" s="30" t="s">
        <v>35</v>
      </c>
      <c r="Q4" s="30" t="s">
        <v>35</v>
      </c>
      <c r="R4" s="30" t="s">
        <v>35</v>
      </c>
      <c r="S4" s="30"/>
      <c r="U4" s="30"/>
      <c r="V4" s="30"/>
    </row>
    <row r="5" spans="1:22" x14ac:dyDescent="0.15">
      <c r="B5" s="29">
        <f>1000+C5</f>
        <v>1000</v>
      </c>
      <c r="C5" s="29">
        <v>0</v>
      </c>
      <c r="D5" s="29">
        <v>2</v>
      </c>
      <c r="E5" s="29">
        <v>10</v>
      </c>
    </row>
    <row r="6" spans="1:22" x14ac:dyDescent="0.15">
      <c r="B6" s="29">
        <f t="shared" ref="B6:B25" si="0">1000+C6</f>
        <v>1001</v>
      </c>
      <c r="C6" s="29">
        <v>1</v>
      </c>
      <c r="D6" s="29">
        <v>2</v>
      </c>
      <c r="E6" s="29">
        <v>10</v>
      </c>
      <c r="F6" s="29">
        <v>2</v>
      </c>
    </row>
    <row r="7" spans="1:22" x14ac:dyDescent="0.15">
      <c r="B7" s="29">
        <f t="shared" si="0"/>
        <v>1002</v>
      </c>
      <c r="C7" s="29">
        <v>2</v>
      </c>
      <c r="D7" s="29">
        <v>2</v>
      </c>
      <c r="E7" s="29">
        <v>10</v>
      </c>
      <c r="F7" s="29">
        <v>2</v>
      </c>
      <c r="G7" s="29">
        <v>10</v>
      </c>
    </row>
    <row r="8" spans="1:22" x14ac:dyDescent="0.15">
      <c r="B8" s="29">
        <f t="shared" si="0"/>
        <v>1003</v>
      </c>
      <c r="C8" s="29">
        <v>3</v>
      </c>
      <c r="D8" s="29">
        <v>2</v>
      </c>
      <c r="E8" s="29">
        <v>10</v>
      </c>
      <c r="F8" s="29">
        <v>2</v>
      </c>
      <c r="G8" s="29">
        <v>10</v>
      </c>
      <c r="H8" s="29">
        <v>1000</v>
      </c>
    </row>
    <row r="9" spans="1:22" x14ac:dyDescent="0.15">
      <c r="B9" s="29">
        <f t="shared" si="0"/>
        <v>1004</v>
      </c>
      <c r="C9" s="29">
        <v>4</v>
      </c>
      <c r="D9" s="29">
        <v>2</v>
      </c>
      <c r="E9" s="29">
        <v>10</v>
      </c>
      <c r="F9" s="29">
        <v>2</v>
      </c>
      <c r="G9" s="29">
        <v>10</v>
      </c>
      <c r="H9" s="29">
        <v>1000</v>
      </c>
      <c r="I9" s="29">
        <v>2</v>
      </c>
    </row>
    <row r="10" spans="1:22" x14ac:dyDescent="0.15">
      <c r="B10" s="29">
        <f t="shared" si="0"/>
        <v>1005</v>
      </c>
      <c r="C10" s="29">
        <v>5</v>
      </c>
      <c r="D10" s="29">
        <v>2</v>
      </c>
      <c r="E10" s="29">
        <v>10</v>
      </c>
      <c r="F10" s="29">
        <v>2</v>
      </c>
      <c r="G10" s="29">
        <v>10</v>
      </c>
      <c r="H10" s="29">
        <v>1000</v>
      </c>
      <c r="I10" s="29">
        <v>2</v>
      </c>
      <c r="J10" s="29">
        <v>2</v>
      </c>
    </row>
    <row r="11" spans="1:22" x14ac:dyDescent="0.15">
      <c r="B11" s="29">
        <f t="shared" si="0"/>
        <v>1006</v>
      </c>
      <c r="C11" s="29">
        <v>6</v>
      </c>
      <c r="D11" s="29">
        <v>2</v>
      </c>
      <c r="E11" s="29">
        <v>10</v>
      </c>
      <c r="F11" s="29">
        <v>2</v>
      </c>
      <c r="G11" s="29">
        <v>20</v>
      </c>
      <c r="H11" s="29">
        <v>2000</v>
      </c>
      <c r="I11" s="29">
        <v>2</v>
      </c>
      <c r="J11" s="29">
        <v>4</v>
      </c>
      <c r="L11" s="29">
        <v>1000</v>
      </c>
      <c r="M11" s="29">
        <v>1000</v>
      </c>
    </row>
    <row r="12" spans="1:22" x14ac:dyDescent="0.15">
      <c r="B12" s="29">
        <f t="shared" si="0"/>
        <v>1007</v>
      </c>
      <c r="C12" s="29">
        <v>7</v>
      </c>
      <c r="D12" s="29">
        <v>2</v>
      </c>
      <c r="E12" s="29">
        <v>10</v>
      </c>
      <c r="F12" s="29">
        <v>2</v>
      </c>
      <c r="G12" s="29">
        <v>30</v>
      </c>
      <c r="H12" s="29">
        <v>3000</v>
      </c>
      <c r="I12" s="29">
        <v>2</v>
      </c>
      <c r="J12" s="29">
        <v>5</v>
      </c>
      <c r="L12" s="29">
        <v>2000</v>
      </c>
      <c r="M12" s="29">
        <v>2000</v>
      </c>
      <c r="N12" s="29">
        <v>4000</v>
      </c>
    </row>
    <row r="13" spans="1:22" x14ac:dyDescent="0.15">
      <c r="B13" s="29">
        <f t="shared" si="0"/>
        <v>1008</v>
      </c>
      <c r="C13" s="29">
        <v>8</v>
      </c>
      <c r="D13" s="29">
        <v>2</v>
      </c>
      <c r="E13" s="29">
        <v>10</v>
      </c>
      <c r="F13" s="29">
        <v>2</v>
      </c>
      <c r="G13" s="29">
        <v>40</v>
      </c>
      <c r="H13" s="29">
        <v>4000</v>
      </c>
      <c r="I13" s="29">
        <v>2</v>
      </c>
      <c r="J13" s="29">
        <v>6</v>
      </c>
      <c r="L13" s="29">
        <v>2500</v>
      </c>
      <c r="M13" s="29">
        <v>2500</v>
      </c>
      <c r="N13" s="29">
        <v>4000</v>
      </c>
      <c r="O13" s="29">
        <v>10</v>
      </c>
    </row>
    <row r="14" spans="1:22" x14ac:dyDescent="0.15">
      <c r="B14" s="29">
        <f t="shared" si="0"/>
        <v>1009</v>
      </c>
      <c r="C14" s="29">
        <v>9</v>
      </c>
      <c r="D14" s="29">
        <v>2</v>
      </c>
      <c r="E14" s="29">
        <v>10</v>
      </c>
      <c r="F14" s="29">
        <v>2</v>
      </c>
      <c r="G14" s="29">
        <v>50</v>
      </c>
      <c r="H14" s="29">
        <v>5000</v>
      </c>
      <c r="I14" s="29">
        <v>2</v>
      </c>
      <c r="J14" s="29">
        <v>8</v>
      </c>
      <c r="L14" s="29">
        <v>3000</v>
      </c>
      <c r="M14" s="29">
        <v>3000</v>
      </c>
      <c r="N14" s="29">
        <v>4000</v>
      </c>
      <c r="O14" s="29">
        <v>10</v>
      </c>
      <c r="P14" s="29">
        <v>1</v>
      </c>
    </row>
    <row r="15" spans="1:22" x14ac:dyDescent="0.15">
      <c r="B15" s="29">
        <f t="shared" si="0"/>
        <v>1010</v>
      </c>
      <c r="C15" s="29">
        <v>10</v>
      </c>
      <c r="D15" s="29">
        <v>2</v>
      </c>
      <c r="E15" s="29">
        <v>10</v>
      </c>
      <c r="F15" s="29">
        <v>2</v>
      </c>
      <c r="G15" s="29">
        <v>60</v>
      </c>
      <c r="H15" s="29">
        <v>5000</v>
      </c>
      <c r="I15" s="29">
        <v>2</v>
      </c>
      <c r="J15" s="29">
        <v>10</v>
      </c>
      <c r="L15" s="29">
        <v>3500</v>
      </c>
      <c r="M15" s="29">
        <v>3500</v>
      </c>
      <c r="N15" s="29">
        <v>4000</v>
      </c>
      <c r="O15" s="29">
        <v>10</v>
      </c>
      <c r="P15" s="29">
        <v>1</v>
      </c>
      <c r="Q15" s="29">
        <v>1</v>
      </c>
    </row>
    <row r="16" spans="1:22" x14ac:dyDescent="0.15">
      <c r="B16" s="29">
        <f t="shared" si="0"/>
        <v>1011</v>
      </c>
      <c r="C16" s="29">
        <v>11</v>
      </c>
      <c r="D16" s="29">
        <v>2</v>
      </c>
      <c r="E16" s="29">
        <v>10</v>
      </c>
      <c r="F16" s="29">
        <v>2</v>
      </c>
      <c r="G16" s="29">
        <v>70</v>
      </c>
      <c r="H16" s="29">
        <v>6000</v>
      </c>
      <c r="I16" s="29">
        <v>2</v>
      </c>
      <c r="J16" s="29">
        <v>12</v>
      </c>
      <c r="L16" s="29">
        <v>4000</v>
      </c>
      <c r="M16" s="29">
        <v>4000</v>
      </c>
      <c r="N16" s="29">
        <v>4000</v>
      </c>
      <c r="O16" s="29">
        <v>10</v>
      </c>
      <c r="P16" s="29">
        <v>1</v>
      </c>
      <c r="Q16" s="29">
        <v>1</v>
      </c>
      <c r="R16" s="29">
        <v>1</v>
      </c>
    </row>
    <row r="17" spans="1:18" x14ac:dyDescent="0.15">
      <c r="B17" s="29">
        <f t="shared" si="0"/>
        <v>1012</v>
      </c>
      <c r="C17" s="29">
        <v>12</v>
      </c>
      <c r="D17" s="29">
        <v>2</v>
      </c>
      <c r="E17" s="29">
        <v>10</v>
      </c>
      <c r="F17" s="29">
        <v>2</v>
      </c>
      <c r="G17" s="29">
        <v>80</v>
      </c>
      <c r="H17" s="29">
        <v>7000</v>
      </c>
      <c r="I17" s="29">
        <v>2</v>
      </c>
      <c r="J17" s="29">
        <v>14</v>
      </c>
      <c r="L17" s="29">
        <v>5000</v>
      </c>
      <c r="M17" s="29">
        <v>5000</v>
      </c>
      <c r="N17" s="29">
        <v>4000</v>
      </c>
      <c r="O17" s="29">
        <v>10</v>
      </c>
      <c r="P17" s="29">
        <v>1</v>
      </c>
      <c r="Q17" s="29">
        <v>1</v>
      </c>
      <c r="R17" s="29">
        <v>1</v>
      </c>
    </row>
    <row r="18" spans="1:18" x14ac:dyDescent="0.15">
      <c r="B18" s="29">
        <f t="shared" si="0"/>
        <v>1013</v>
      </c>
      <c r="C18" s="29">
        <v>13</v>
      </c>
      <c r="D18" s="29">
        <v>2</v>
      </c>
      <c r="E18" s="29">
        <v>10</v>
      </c>
      <c r="F18" s="29">
        <v>2</v>
      </c>
      <c r="G18" s="29">
        <v>90</v>
      </c>
      <c r="H18" s="29">
        <v>8000</v>
      </c>
      <c r="I18" s="29">
        <v>2</v>
      </c>
      <c r="J18" s="29">
        <v>16</v>
      </c>
      <c r="L18" s="29">
        <v>6000</v>
      </c>
      <c r="M18" s="29">
        <v>6000</v>
      </c>
      <c r="N18" s="29">
        <v>4000</v>
      </c>
      <c r="O18" s="29">
        <v>10</v>
      </c>
      <c r="P18" s="29">
        <v>1</v>
      </c>
      <c r="Q18" s="29">
        <v>1</v>
      </c>
      <c r="R18" s="29">
        <v>1</v>
      </c>
    </row>
    <row r="19" spans="1:18" x14ac:dyDescent="0.15">
      <c r="B19" s="29">
        <f t="shared" si="0"/>
        <v>1014</v>
      </c>
      <c r="C19" s="29">
        <v>14</v>
      </c>
      <c r="D19" s="29">
        <v>2</v>
      </c>
      <c r="E19" s="29">
        <v>10</v>
      </c>
      <c r="F19" s="29">
        <v>2</v>
      </c>
      <c r="G19" s="29">
        <v>100</v>
      </c>
      <c r="H19" s="29">
        <v>9000</v>
      </c>
      <c r="I19" s="29">
        <v>2</v>
      </c>
      <c r="J19" s="29">
        <v>18</v>
      </c>
      <c r="L19" s="29">
        <v>7000</v>
      </c>
      <c r="M19" s="29">
        <v>7000</v>
      </c>
      <c r="N19" s="29">
        <v>4000</v>
      </c>
      <c r="O19" s="29">
        <v>10</v>
      </c>
      <c r="P19" s="29">
        <v>1</v>
      </c>
      <c r="Q19" s="29">
        <v>1</v>
      </c>
      <c r="R19" s="29">
        <v>1</v>
      </c>
    </row>
    <row r="20" spans="1:18" x14ac:dyDescent="0.15">
      <c r="B20" s="29">
        <f t="shared" si="0"/>
        <v>1015</v>
      </c>
      <c r="C20" s="29">
        <v>15</v>
      </c>
      <c r="D20" s="29">
        <v>2</v>
      </c>
      <c r="E20" s="29">
        <v>10</v>
      </c>
      <c r="F20" s="29">
        <v>2</v>
      </c>
      <c r="G20" s="29">
        <v>110</v>
      </c>
      <c r="H20" s="29">
        <v>10000</v>
      </c>
      <c r="I20" s="29">
        <v>2</v>
      </c>
      <c r="J20" s="29">
        <v>20</v>
      </c>
      <c r="L20" s="29">
        <v>8000</v>
      </c>
      <c r="M20" s="29">
        <v>8000</v>
      </c>
      <c r="N20" s="29">
        <v>4000</v>
      </c>
      <c r="O20" s="29">
        <v>10</v>
      </c>
      <c r="P20" s="29">
        <v>1</v>
      </c>
      <c r="Q20" s="29">
        <v>1</v>
      </c>
      <c r="R20" s="29">
        <v>1</v>
      </c>
    </row>
    <row r="21" spans="1:18" x14ac:dyDescent="0.15">
      <c r="B21" s="29">
        <f t="shared" si="0"/>
        <v>1016</v>
      </c>
      <c r="C21" s="29">
        <v>16</v>
      </c>
      <c r="D21" s="29">
        <v>2</v>
      </c>
      <c r="E21" s="29">
        <v>10</v>
      </c>
      <c r="F21" s="29">
        <v>2</v>
      </c>
      <c r="G21" s="29">
        <v>120</v>
      </c>
      <c r="H21" s="29">
        <v>11000</v>
      </c>
      <c r="I21" s="29">
        <v>2</v>
      </c>
      <c r="J21" s="29">
        <v>22</v>
      </c>
      <c r="L21" s="29">
        <v>9000</v>
      </c>
      <c r="M21" s="29">
        <v>9000</v>
      </c>
      <c r="N21" s="29">
        <v>4000</v>
      </c>
      <c r="O21" s="29">
        <v>10</v>
      </c>
      <c r="P21" s="29">
        <v>1</v>
      </c>
      <c r="Q21" s="29">
        <v>1</v>
      </c>
      <c r="R21" s="29">
        <v>1</v>
      </c>
    </row>
    <row r="22" spans="1:18" x14ac:dyDescent="0.15">
      <c r="B22" s="29">
        <f t="shared" si="0"/>
        <v>1017</v>
      </c>
      <c r="C22" s="29">
        <v>17</v>
      </c>
      <c r="D22" s="29">
        <v>2</v>
      </c>
      <c r="E22" s="29">
        <v>10</v>
      </c>
      <c r="F22" s="29">
        <v>2</v>
      </c>
      <c r="G22" s="29">
        <v>130</v>
      </c>
      <c r="H22" s="29">
        <v>12000</v>
      </c>
      <c r="I22" s="29">
        <v>2</v>
      </c>
      <c r="J22" s="29">
        <v>24</v>
      </c>
      <c r="L22" s="29">
        <v>10000</v>
      </c>
      <c r="M22" s="29">
        <v>10000</v>
      </c>
      <c r="N22" s="29">
        <v>4000</v>
      </c>
      <c r="O22" s="29">
        <v>10</v>
      </c>
      <c r="P22" s="29">
        <v>1</v>
      </c>
      <c r="Q22" s="29">
        <v>1</v>
      </c>
      <c r="R22" s="29">
        <v>1</v>
      </c>
    </row>
    <row r="23" spans="1:18" x14ac:dyDescent="0.15">
      <c r="B23" s="29">
        <f t="shared" si="0"/>
        <v>1018</v>
      </c>
      <c r="C23" s="29">
        <v>18</v>
      </c>
      <c r="D23" s="29">
        <v>2</v>
      </c>
      <c r="E23" s="29">
        <v>10</v>
      </c>
      <c r="F23" s="29">
        <v>2</v>
      </c>
      <c r="G23" s="29">
        <v>140</v>
      </c>
      <c r="H23" s="29">
        <v>13000</v>
      </c>
      <c r="I23" s="29">
        <v>2</v>
      </c>
      <c r="J23" s="29">
        <v>26</v>
      </c>
      <c r="L23" s="29">
        <v>11000</v>
      </c>
      <c r="M23" s="29">
        <v>11000</v>
      </c>
      <c r="N23" s="29">
        <v>4000</v>
      </c>
      <c r="O23" s="29">
        <v>10</v>
      </c>
      <c r="P23" s="29">
        <v>1</v>
      </c>
      <c r="Q23" s="29">
        <v>1</v>
      </c>
      <c r="R23" s="29">
        <v>1</v>
      </c>
    </row>
    <row r="24" spans="1:18" x14ac:dyDescent="0.15">
      <c r="B24" s="29">
        <f t="shared" si="0"/>
        <v>1019</v>
      </c>
      <c r="C24" s="29">
        <v>19</v>
      </c>
      <c r="D24" s="29">
        <v>2</v>
      </c>
      <c r="E24" s="29">
        <v>10</v>
      </c>
      <c r="F24" s="29">
        <v>2</v>
      </c>
      <c r="G24" s="29">
        <v>150</v>
      </c>
      <c r="H24" s="29">
        <v>14000</v>
      </c>
      <c r="I24" s="29">
        <v>2</v>
      </c>
      <c r="J24" s="29">
        <v>28</v>
      </c>
      <c r="L24" s="29">
        <v>12000</v>
      </c>
      <c r="M24" s="29">
        <v>12000</v>
      </c>
      <c r="N24" s="29">
        <v>4000</v>
      </c>
      <c r="O24" s="29">
        <v>10</v>
      </c>
      <c r="P24" s="29">
        <v>1</v>
      </c>
      <c r="Q24" s="29">
        <v>1</v>
      </c>
      <c r="R24" s="29">
        <v>1</v>
      </c>
    </row>
    <row r="25" spans="1:18" x14ac:dyDescent="0.15">
      <c r="B25" s="29">
        <f t="shared" si="0"/>
        <v>1020</v>
      </c>
      <c r="C25" s="29">
        <v>20</v>
      </c>
      <c r="D25" s="29">
        <v>2</v>
      </c>
      <c r="E25" s="29">
        <v>10</v>
      </c>
      <c r="F25" s="29">
        <v>2</v>
      </c>
      <c r="G25" s="29">
        <v>160</v>
      </c>
      <c r="H25" s="29">
        <v>15000</v>
      </c>
      <c r="I25" s="29">
        <v>2</v>
      </c>
      <c r="J25" s="29">
        <v>30</v>
      </c>
      <c r="L25" s="29">
        <v>13000</v>
      </c>
      <c r="M25" s="29">
        <v>13000</v>
      </c>
      <c r="N25" s="29">
        <v>4000</v>
      </c>
      <c r="O25" s="29">
        <v>10</v>
      </c>
      <c r="P25" s="29">
        <v>1</v>
      </c>
      <c r="Q25" s="29">
        <v>1</v>
      </c>
      <c r="R25" s="29">
        <v>1</v>
      </c>
    </row>
    <row r="26" spans="1:18" x14ac:dyDescent="0.15">
      <c r="A26" s="32" t="s">
        <v>37</v>
      </c>
      <c r="B26" s="32">
        <v>999998</v>
      </c>
      <c r="D26" s="29">
        <v>7</v>
      </c>
      <c r="E26" s="29">
        <v>8</v>
      </c>
      <c r="F26" s="29">
        <v>9</v>
      </c>
      <c r="G26" s="29">
        <v>10</v>
      </c>
      <c r="H26" s="29">
        <v>11</v>
      </c>
      <c r="I26" s="29">
        <v>12</v>
      </c>
      <c r="J26" s="29">
        <v>13</v>
      </c>
      <c r="K26" s="29">
        <v>14</v>
      </c>
      <c r="L26" s="29">
        <v>15</v>
      </c>
      <c r="M26" s="29">
        <v>16</v>
      </c>
      <c r="N26" s="29">
        <v>17</v>
      </c>
      <c r="O26" s="29">
        <v>18</v>
      </c>
      <c r="P26" s="29">
        <v>19</v>
      </c>
      <c r="Q26" s="29">
        <v>20</v>
      </c>
      <c r="R26" s="29">
        <v>21</v>
      </c>
    </row>
    <row r="27" spans="1:18" x14ac:dyDescent="0.15">
      <c r="A27" s="33" t="s">
        <v>38</v>
      </c>
      <c r="B27" s="33">
        <v>999999</v>
      </c>
      <c r="D27" s="29">
        <v>1</v>
      </c>
      <c r="E27" s="29">
        <v>1</v>
      </c>
      <c r="F27" s="29">
        <v>1</v>
      </c>
      <c r="G27" s="29">
        <v>1</v>
      </c>
      <c r="H27" s="29">
        <v>1</v>
      </c>
      <c r="I27" s="29">
        <v>1</v>
      </c>
      <c r="J27" s="29">
        <v>1</v>
      </c>
      <c r="L27" s="29">
        <v>1</v>
      </c>
      <c r="M27" s="29">
        <v>1</v>
      </c>
      <c r="N27" s="29">
        <v>1</v>
      </c>
      <c r="O27" s="29">
        <v>1</v>
      </c>
      <c r="P27" s="29">
        <v>1</v>
      </c>
      <c r="Q27" s="29">
        <v>1</v>
      </c>
      <c r="R27" s="29">
        <v>1</v>
      </c>
    </row>
  </sheetData>
  <phoneticPr fontId="10" type="noConversion"/>
  <conditionalFormatting sqref="B3:B4 B1 C1:C4">
    <cfRule type="duplicateValues" dxfId="3" priority="1"/>
  </conditionalFormatting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5"/>
  <sheetViews>
    <sheetView tabSelected="1" topLeftCell="G1" zoomScale="130" zoomScaleNormal="130" workbookViewId="0">
      <selection activeCell="M15" sqref="M15:N28"/>
    </sheetView>
  </sheetViews>
  <sheetFormatPr defaultColWidth="9" defaultRowHeight="13.5" x14ac:dyDescent="0.15"/>
  <cols>
    <col min="1" max="1" width="13.125" customWidth="1"/>
    <col min="2" max="2" width="10.125" customWidth="1"/>
    <col min="3" max="3" width="7.375" customWidth="1"/>
    <col min="4" max="4" width="6.625" customWidth="1"/>
    <col min="5" max="5" width="11.75" customWidth="1"/>
    <col min="8" max="8" width="11.25" customWidth="1"/>
    <col min="9" max="9" width="46" customWidth="1"/>
    <col min="10" max="10" width="24.875" customWidth="1"/>
    <col min="11" max="11" width="12.25" bestFit="1" customWidth="1"/>
    <col min="12" max="12" width="16.25" customWidth="1"/>
  </cols>
  <sheetData>
    <row r="1" spans="1:18" s="24" customFormat="1" x14ac:dyDescent="0.15">
      <c r="A1" s="25" t="s">
        <v>39</v>
      </c>
      <c r="B1" s="25" t="s">
        <v>1</v>
      </c>
      <c r="C1" s="25" t="s">
        <v>2</v>
      </c>
      <c r="D1" s="25" t="s">
        <v>40</v>
      </c>
      <c r="E1" s="25" t="s">
        <v>41</v>
      </c>
      <c r="F1" s="26" t="s">
        <v>42</v>
      </c>
      <c r="G1" s="25" t="s">
        <v>43</v>
      </c>
      <c r="H1" s="25" t="s">
        <v>44</v>
      </c>
      <c r="I1" s="25" t="s">
        <v>45</v>
      </c>
      <c r="J1" s="25" t="s">
        <v>46</v>
      </c>
      <c r="K1" s="25" t="s">
        <v>47</v>
      </c>
      <c r="L1" s="25" t="s">
        <v>48</v>
      </c>
      <c r="M1" s="25"/>
      <c r="N1" s="25"/>
      <c r="O1" s="25"/>
      <c r="P1" s="25"/>
      <c r="Q1" s="25"/>
      <c r="R1" s="25"/>
    </row>
    <row r="2" spans="1:18" s="24" customFormat="1" x14ac:dyDescent="0.15">
      <c r="A2" s="25"/>
      <c r="B2" s="26" t="s">
        <v>18</v>
      </c>
      <c r="C2" s="25" t="s">
        <v>49</v>
      </c>
      <c r="D2" s="25" t="s">
        <v>50</v>
      </c>
      <c r="E2" s="25" t="s">
        <v>51</v>
      </c>
      <c r="F2" s="25" t="s">
        <v>52</v>
      </c>
      <c r="G2" s="25" t="s">
        <v>53</v>
      </c>
      <c r="H2" s="26" t="s">
        <v>54</v>
      </c>
      <c r="I2" s="25" t="s">
        <v>55</v>
      </c>
      <c r="J2" s="25" t="s">
        <v>56</v>
      </c>
      <c r="K2" s="25" t="s">
        <v>57</v>
      </c>
      <c r="L2" s="25" t="s">
        <v>58</v>
      </c>
      <c r="M2" s="25"/>
      <c r="N2" s="25"/>
      <c r="O2" s="25"/>
      <c r="P2" s="25"/>
      <c r="Q2" s="25"/>
      <c r="R2" s="25"/>
    </row>
    <row r="3" spans="1:18" s="24" customFormat="1" x14ac:dyDescent="0.15">
      <c r="A3" s="25" t="s">
        <v>34</v>
      </c>
      <c r="B3" s="25" t="s">
        <v>35</v>
      </c>
      <c r="C3" s="25" t="s">
        <v>35</v>
      </c>
      <c r="D3" s="25" t="s">
        <v>59</v>
      </c>
      <c r="E3" s="25" t="s">
        <v>35</v>
      </c>
      <c r="F3" s="25" t="s">
        <v>35</v>
      </c>
      <c r="G3" s="25" t="s">
        <v>35</v>
      </c>
      <c r="H3" s="25"/>
      <c r="I3" s="25" t="s">
        <v>59</v>
      </c>
      <c r="J3" s="25" t="s">
        <v>59</v>
      </c>
      <c r="K3" s="25" t="s">
        <v>59</v>
      </c>
      <c r="L3" s="25" t="s">
        <v>35</v>
      </c>
      <c r="M3" s="25"/>
      <c r="N3" s="25"/>
      <c r="O3" s="25"/>
      <c r="P3" s="25"/>
      <c r="Q3" s="25"/>
      <c r="R3" s="25"/>
    </row>
    <row r="4" spans="1:18" s="24" customFormat="1" x14ac:dyDescent="0.15">
      <c r="A4" s="25" t="s">
        <v>36</v>
      </c>
      <c r="B4" s="25" t="s">
        <v>35</v>
      </c>
      <c r="C4" s="25" t="s">
        <v>35</v>
      </c>
      <c r="D4" s="25"/>
      <c r="E4" s="25" t="s">
        <v>35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15">
      <c r="B5">
        <f>1000+C5</f>
        <v>1000</v>
      </c>
      <c r="C5">
        <v>0</v>
      </c>
      <c r="D5" t="s">
        <v>60</v>
      </c>
      <c r="E5">
        <v>0</v>
      </c>
      <c r="G5">
        <f>B6</f>
        <v>1001</v>
      </c>
      <c r="H5">
        <f>E6-E5</f>
        <v>10</v>
      </c>
      <c r="I5" t="s">
        <v>61</v>
      </c>
      <c r="J5" t="s">
        <v>62</v>
      </c>
      <c r="K5" t="s">
        <v>63</v>
      </c>
      <c r="L5">
        <v>8</v>
      </c>
    </row>
    <row r="6" spans="1:18" x14ac:dyDescent="0.15">
      <c r="B6">
        <f t="shared" ref="B6:B25" si="0">1000+C6</f>
        <v>1001</v>
      </c>
      <c r="C6">
        <v>1</v>
      </c>
      <c r="D6" t="s">
        <v>64</v>
      </c>
      <c r="E6">
        <v>10</v>
      </c>
      <c r="F6">
        <f>B5</f>
        <v>1000</v>
      </c>
      <c r="G6">
        <f t="shared" ref="G6:G24" si="1">B7</f>
        <v>1002</v>
      </c>
      <c r="H6">
        <f t="shared" ref="H6:H24" si="2">E7-E6</f>
        <v>10</v>
      </c>
      <c r="I6" t="s">
        <v>65</v>
      </c>
      <c r="J6" s="27" t="s">
        <v>66</v>
      </c>
      <c r="K6" t="s">
        <v>67</v>
      </c>
      <c r="L6">
        <v>7</v>
      </c>
    </row>
    <row r="7" spans="1:18" x14ac:dyDescent="0.15">
      <c r="B7">
        <f t="shared" si="0"/>
        <v>1002</v>
      </c>
      <c r="C7">
        <v>2</v>
      </c>
      <c r="D7" t="s">
        <v>68</v>
      </c>
      <c r="E7">
        <v>20</v>
      </c>
      <c r="F7">
        <f t="shared" ref="F7:F25" si="3">B6</f>
        <v>1001</v>
      </c>
      <c r="G7">
        <f t="shared" si="1"/>
        <v>1003</v>
      </c>
      <c r="H7">
        <f t="shared" si="2"/>
        <v>10</v>
      </c>
      <c r="I7" t="s">
        <v>69</v>
      </c>
      <c r="J7" t="s">
        <v>70</v>
      </c>
      <c r="K7" t="s">
        <v>71</v>
      </c>
      <c r="L7">
        <v>6</v>
      </c>
    </row>
    <row r="8" spans="1:18" x14ac:dyDescent="0.15">
      <c r="B8">
        <f t="shared" si="0"/>
        <v>1003</v>
      </c>
      <c r="C8">
        <v>3</v>
      </c>
      <c r="D8" t="s">
        <v>72</v>
      </c>
      <c r="E8">
        <v>30</v>
      </c>
      <c r="F8">
        <f t="shared" si="3"/>
        <v>1002</v>
      </c>
      <c r="G8">
        <f t="shared" si="1"/>
        <v>1004</v>
      </c>
      <c r="H8">
        <f t="shared" si="2"/>
        <v>10</v>
      </c>
      <c r="I8" t="s">
        <v>73</v>
      </c>
      <c r="J8" t="s">
        <v>74</v>
      </c>
      <c r="K8" t="s">
        <v>75</v>
      </c>
      <c r="L8">
        <v>5</v>
      </c>
    </row>
    <row r="9" spans="1:18" x14ac:dyDescent="0.15">
      <c r="B9">
        <f t="shared" si="0"/>
        <v>1004</v>
      </c>
      <c r="C9">
        <v>4</v>
      </c>
      <c r="D9" t="s">
        <v>76</v>
      </c>
      <c r="E9">
        <v>40</v>
      </c>
      <c r="F9">
        <f t="shared" si="3"/>
        <v>1003</v>
      </c>
      <c r="G9">
        <f t="shared" si="1"/>
        <v>1005</v>
      </c>
      <c r="H9">
        <f t="shared" si="2"/>
        <v>10</v>
      </c>
      <c r="I9" t="s">
        <v>77</v>
      </c>
      <c r="J9" t="s">
        <v>78</v>
      </c>
      <c r="K9" t="s">
        <v>79</v>
      </c>
      <c r="L9">
        <v>4</v>
      </c>
    </row>
    <row r="10" spans="1:18" x14ac:dyDescent="0.15">
      <c r="B10">
        <f t="shared" si="0"/>
        <v>1005</v>
      </c>
      <c r="C10">
        <v>5</v>
      </c>
      <c r="D10" t="s">
        <v>80</v>
      </c>
      <c r="E10">
        <v>50</v>
      </c>
      <c r="F10">
        <f t="shared" si="3"/>
        <v>1004</v>
      </c>
      <c r="G10">
        <f t="shared" si="1"/>
        <v>1006</v>
      </c>
      <c r="H10">
        <f t="shared" si="2"/>
        <v>60</v>
      </c>
      <c r="I10" t="s">
        <v>81</v>
      </c>
      <c r="J10" s="27" t="s">
        <v>82</v>
      </c>
      <c r="K10" t="s">
        <v>83</v>
      </c>
      <c r="L10">
        <v>3</v>
      </c>
    </row>
    <row r="11" spans="1:18" x14ac:dyDescent="0.15">
      <c r="B11">
        <f t="shared" si="0"/>
        <v>1006</v>
      </c>
      <c r="C11">
        <v>6</v>
      </c>
      <c r="D11" t="s">
        <v>84</v>
      </c>
      <c r="E11">
        <v>110</v>
      </c>
      <c r="F11">
        <f t="shared" si="3"/>
        <v>1005</v>
      </c>
      <c r="G11">
        <f t="shared" si="1"/>
        <v>1007</v>
      </c>
      <c r="H11">
        <f t="shared" si="2"/>
        <v>160</v>
      </c>
      <c r="I11" t="s">
        <v>85</v>
      </c>
      <c r="J11" t="s">
        <v>86</v>
      </c>
      <c r="K11" t="s">
        <v>87</v>
      </c>
      <c r="L11">
        <v>2</v>
      </c>
    </row>
    <row r="12" spans="1:18" x14ac:dyDescent="0.15">
      <c r="B12">
        <f t="shared" si="0"/>
        <v>1007</v>
      </c>
      <c r="C12">
        <v>7</v>
      </c>
      <c r="D12" t="s">
        <v>88</v>
      </c>
      <c r="E12">
        <v>270</v>
      </c>
      <c r="F12">
        <f t="shared" si="3"/>
        <v>1006</v>
      </c>
      <c r="G12">
        <f t="shared" si="1"/>
        <v>1008</v>
      </c>
      <c r="H12">
        <f t="shared" si="2"/>
        <v>500</v>
      </c>
      <c r="I12" t="s">
        <v>89</v>
      </c>
      <c r="J12" t="s">
        <v>90</v>
      </c>
      <c r="K12" t="s">
        <v>91</v>
      </c>
      <c r="L12">
        <v>6</v>
      </c>
    </row>
    <row r="13" spans="1:18" x14ac:dyDescent="0.15">
      <c r="B13">
        <f t="shared" si="0"/>
        <v>1008</v>
      </c>
      <c r="C13">
        <v>8</v>
      </c>
      <c r="D13" t="s">
        <v>92</v>
      </c>
      <c r="E13">
        <v>770</v>
      </c>
      <c r="F13">
        <f t="shared" si="3"/>
        <v>1007</v>
      </c>
      <c r="G13">
        <f t="shared" si="1"/>
        <v>1009</v>
      </c>
      <c r="H13">
        <f t="shared" si="2"/>
        <v>980</v>
      </c>
      <c r="I13" t="s">
        <v>93</v>
      </c>
      <c r="J13" t="s">
        <v>94</v>
      </c>
      <c r="K13" t="s">
        <v>95</v>
      </c>
      <c r="L13">
        <v>5</v>
      </c>
    </row>
    <row r="14" spans="1:18" x14ac:dyDescent="0.15">
      <c r="B14">
        <f t="shared" si="0"/>
        <v>1009</v>
      </c>
      <c r="C14">
        <v>9</v>
      </c>
      <c r="D14" t="s">
        <v>96</v>
      </c>
      <c r="E14">
        <v>1750</v>
      </c>
      <c r="F14">
        <f t="shared" si="3"/>
        <v>1008</v>
      </c>
      <c r="G14">
        <f t="shared" si="1"/>
        <v>1010</v>
      </c>
      <c r="H14">
        <f t="shared" si="2"/>
        <v>1980</v>
      </c>
      <c r="I14" t="s">
        <v>97</v>
      </c>
      <c r="J14" t="s">
        <v>98</v>
      </c>
      <c r="K14" t="s">
        <v>99</v>
      </c>
      <c r="L14">
        <v>4</v>
      </c>
    </row>
    <row r="15" spans="1:18" x14ac:dyDescent="0.15">
      <c r="B15">
        <f t="shared" si="0"/>
        <v>1010</v>
      </c>
      <c r="C15">
        <v>10</v>
      </c>
      <c r="D15" t="s">
        <v>100</v>
      </c>
      <c r="E15">
        <v>3730</v>
      </c>
      <c r="F15">
        <f t="shared" si="3"/>
        <v>1009</v>
      </c>
      <c r="G15">
        <f t="shared" si="1"/>
        <v>1011</v>
      </c>
      <c r="H15">
        <f t="shared" si="2"/>
        <v>5000</v>
      </c>
      <c r="I15" t="s">
        <v>101</v>
      </c>
      <c r="J15" t="s">
        <v>98</v>
      </c>
      <c r="K15" t="s">
        <v>102</v>
      </c>
      <c r="L15">
        <v>3</v>
      </c>
    </row>
    <row r="16" spans="1:18" x14ac:dyDescent="0.15">
      <c r="B16">
        <f t="shared" si="0"/>
        <v>1011</v>
      </c>
      <c r="C16">
        <v>11</v>
      </c>
      <c r="D16" t="s">
        <v>103</v>
      </c>
      <c r="E16">
        <v>8730</v>
      </c>
      <c r="F16">
        <f t="shared" si="3"/>
        <v>1010</v>
      </c>
      <c r="G16">
        <f t="shared" si="1"/>
        <v>1012</v>
      </c>
      <c r="H16">
        <f t="shared" si="2"/>
        <v>5000</v>
      </c>
      <c r="I16" t="s">
        <v>104</v>
      </c>
      <c r="J16" t="s">
        <v>105</v>
      </c>
      <c r="K16" t="s">
        <v>106</v>
      </c>
      <c r="L16">
        <v>3</v>
      </c>
    </row>
    <row r="17" spans="2:12" x14ac:dyDescent="0.15">
      <c r="B17">
        <f t="shared" si="0"/>
        <v>1012</v>
      </c>
      <c r="C17">
        <v>12</v>
      </c>
      <c r="D17" t="s">
        <v>107</v>
      </c>
      <c r="E17">
        <v>13730</v>
      </c>
      <c r="F17">
        <f t="shared" si="3"/>
        <v>1011</v>
      </c>
      <c r="G17">
        <f t="shared" si="1"/>
        <v>1013</v>
      </c>
      <c r="H17">
        <f t="shared" si="2"/>
        <v>5000</v>
      </c>
      <c r="I17" t="s">
        <v>108</v>
      </c>
      <c r="J17" t="s">
        <v>186</v>
      </c>
      <c r="K17" t="s">
        <v>181</v>
      </c>
      <c r="L17">
        <v>3</v>
      </c>
    </row>
    <row r="18" spans="2:12" x14ac:dyDescent="0.15">
      <c r="B18">
        <f t="shared" si="0"/>
        <v>1013</v>
      </c>
      <c r="C18">
        <v>13</v>
      </c>
      <c r="D18" t="s">
        <v>109</v>
      </c>
      <c r="E18">
        <v>18730</v>
      </c>
      <c r="F18">
        <f t="shared" si="3"/>
        <v>1012</v>
      </c>
      <c r="G18">
        <f t="shared" si="1"/>
        <v>1014</v>
      </c>
      <c r="H18">
        <f t="shared" si="2"/>
        <v>20000</v>
      </c>
      <c r="I18" t="s">
        <v>110</v>
      </c>
      <c r="J18" t="s">
        <v>105</v>
      </c>
      <c r="K18" t="s">
        <v>106</v>
      </c>
      <c r="L18">
        <v>3</v>
      </c>
    </row>
    <row r="19" spans="2:12" x14ac:dyDescent="0.15">
      <c r="B19">
        <f t="shared" si="0"/>
        <v>1014</v>
      </c>
      <c r="C19">
        <v>14</v>
      </c>
      <c r="D19" t="s">
        <v>111</v>
      </c>
      <c r="E19">
        <v>38730</v>
      </c>
      <c r="F19">
        <f t="shared" si="3"/>
        <v>1013</v>
      </c>
      <c r="G19">
        <f t="shared" si="1"/>
        <v>1015</v>
      </c>
      <c r="H19">
        <f t="shared" si="2"/>
        <v>25000</v>
      </c>
      <c r="I19" t="s">
        <v>112</v>
      </c>
      <c r="J19" t="s">
        <v>105</v>
      </c>
      <c r="K19" t="s">
        <v>106</v>
      </c>
      <c r="L19">
        <v>3</v>
      </c>
    </row>
    <row r="20" spans="2:12" x14ac:dyDescent="0.15">
      <c r="B20">
        <f t="shared" si="0"/>
        <v>1015</v>
      </c>
      <c r="C20">
        <v>15</v>
      </c>
      <c r="D20" t="s">
        <v>113</v>
      </c>
      <c r="E20">
        <v>63730</v>
      </c>
      <c r="F20">
        <f t="shared" si="3"/>
        <v>1014</v>
      </c>
      <c r="G20">
        <f t="shared" si="1"/>
        <v>1016</v>
      </c>
      <c r="H20">
        <f t="shared" si="2"/>
        <v>35000</v>
      </c>
      <c r="I20" t="s">
        <v>114</v>
      </c>
      <c r="J20" t="s">
        <v>105</v>
      </c>
      <c r="K20" t="s">
        <v>106</v>
      </c>
      <c r="L20">
        <v>3</v>
      </c>
    </row>
    <row r="21" spans="2:12" x14ac:dyDescent="0.15">
      <c r="B21">
        <f t="shared" si="0"/>
        <v>1016</v>
      </c>
      <c r="C21">
        <v>16</v>
      </c>
      <c r="D21" t="s">
        <v>115</v>
      </c>
      <c r="E21">
        <v>98730</v>
      </c>
      <c r="F21">
        <f t="shared" si="3"/>
        <v>1015</v>
      </c>
      <c r="G21">
        <f t="shared" si="1"/>
        <v>1017</v>
      </c>
      <c r="H21">
        <f t="shared" si="2"/>
        <v>50000</v>
      </c>
      <c r="I21" t="s">
        <v>116</v>
      </c>
      <c r="J21" t="s">
        <v>187</v>
      </c>
      <c r="K21" t="s">
        <v>182</v>
      </c>
      <c r="L21">
        <v>3</v>
      </c>
    </row>
    <row r="22" spans="2:12" x14ac:dyDescent="0.15">
      <c r="B22">
        <f t="shared" si="0"/>
        <v>1017</v>
      </c>
      <c r="C22">
        <v>17</v>
      </c>
      <c r="D22" t="s">
        <v>117</v>
      </c>
      <c r="E22">
        <v>148730</v>
      </c>
      <c r="F22">
        <f t="shared" si="3"/>
        <v>1016</v>
      </c>
      <c r="G22">
        <f t="shared" si="1"/>
        <v>1018</v>
      </c>
      <c r="H22">
        <f t="shared" si="2"/>
        <v>100000</v>
      </c>
      <c r="I22" t="s">
        <v>118</v>
      </c>
      <c r="J22" t="s">
        <v>185</v>
      </c>
      <c r="K22" t="s">
        <v>183</v>
      </c>
      <c r="L22">
        <v>3</v>
      </c>
    </row>
    <row r="23" spans="2:12" x14ac:dyDescent="0.15">
      <c r="B23">
        <f t="shared" si="0"/>
        <v>1018</v>
      </c>
      <c r="C23">
        <v>18</v>
      </c>
      <c r="D23" t="s">
        <v>119</v>
      </c>
      <c r="E23">
        <v>248730</v>
      </c>
      <c r="F23">
        <f t="shared" si="3"/>
        <v>1017</v>
      </c>
      <c r="G23">
        <f t="shared" si="1"/>
        <v>1019</v>
      </c>
      <c r="H23">
        <f t="shared" si="2"/>
        <v>100000</v>
      </c>
      <c r="I23" t="s">
        <v>120</v>
      </c>
      <c r="J23" t="s">
        <v>185</v>
      </c>
      <c r="K23" t="s">
        <v>183</v>
      </c>
      <c r="L23">
        <v>2</v>
      </c>
    </row>
    <row r="24" spans="2:12" x14ac:dyDescent="0.15">
      <c r="B24">
        <f t="shared" si="0"/>
        <v>1019</v>
      </c>
      <c r="C24">
        <v>19</v>
      </c>
      <c r="D24" t="s">
        <v>121</v>
      </c>
      <c r="E24">
        <v>348730</v>
      </c>
      <c r="F24">
        <f t="shared" si="3"/>
        <v>1018</v>
      </c>
      <c r="G24">
        <f t="shared" si="1"/>
        <v>1020</v>
      </c>
      <c r="H24">
        <f t="shared" si="2"/>
        <v>200000</v>
      </c>
      <c r="I24" t="s">
        <v>122</v>
      </c>
      <c r="J24" t="s">
        <v>185</v>
      </c>
      <c r="K24" t="s">
        <v>183</v>
      </c>
      <c r="L24">
        <v>1</v>
      </c>
    </row>
    <row r="25" spans="2:12" x14ac:dyDescent="0.15">
      <c r="B25">
        <f t="shared" si="0"/>
        <v>1020</v>
      </c>
      <c r="C25">
        <v>20</v>
      </c>
      <c r="D25" t="s">
        <v>123</v>
      </c>
      <c r="E25">
        <v>548730</v>
      </c>
      <c r="F25">
        <f t="shared" si="3"/>
        <v>1019</v>
      </c>
      <c r="I25" t="s">
        <v>122</v>
      </c>
      <c r="J25" t="s">
        <v>188</v>
      </c>
      <c r="K25" t="s">
        <v>184</v>
      </c>
      <c r="L25">
        <v>0</v>
      </c>
    </row>
  </sheetData>
  <phoneticPr fontId="10" type="noConversion"/>
  <conditionalFormatting sqref="D1:D4 B1:C1 B3:C4 C2">
    <cfRule type="duplicateValues" dxfId="2" priority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8"/>
  <sheetViews>
    <sheetView workbookViewId="0">
      <selection activeCell="D6" sqref="D6"/>
    </sheetView>
  </sheetViews>
  <sheetFormatPr defaultColWidth="9" defaultRowHeight="13.5" x14ac:dyDescent="0.15"/>
  <cols>
    <col min="1" max="1" width="17.75" customWidth="1"/>
    <col min="2" max="9" width="14.375" customWidth="1"/>
  </cols>
  <sheetData>
    <row r="1" spans="1:19" s="24" customFormat="1" x14ac:dyDescent="0.15">
      <c r="A1" s="25" t="s">
        <v>124</v>
      </c>
      <c r="B1" s="25" t="s">
        <v>1</v>
      </c>
      <c r="C1" s="25" t="s">
        <v>125</v>
      </c>
      <c r="D1" s="25" t="s">
        <v>2</v>
      </c>
      <c r="E1" s="25" t="s">
        <v>126</v>
      </c>
      <c r="F1" s="25"/>
      <c r="G1" s="26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spans="1:19" s="24" customFormat="1" x14ac:dyDescent="0.15">
      <c r="A2" s="25"/>
      <c r="B2" s="26" t="s">
        <v>18</v>
      </c>
      <c r="C2" s="26" t="s">
        <v>127</v>
      </c>
      <c r="D2" s="25" t="s">
        <v>128</v>
      </c>
      <c r="E2" s="25"/>
      <c r="F2" s="25"/>
      <c r="G2" s="25"/>
      <c r="H2" s="25"/>
      <c r="I2" s="26"/>
      <c r="J2" s="25"/>
      <c r="K2" s="25"/>
      <c r="L2" s="25"/>
      <c r="M2" s="25"/>
      <c r="N2" s="25"/>
      <c r="O2" s="25"/>
      <c r="P2" s="25"/>
      <c r="Q2" s="25"/>
      <c r="R2" s="25"/>
      <c r="S2" s="25"/>
    </row>
    <row r="3" spans="1:19" s="24" customFormat="1" x14ac:dyDescent="0.15">
      <c r="A3" s="25" t="s">
        <v>34</v>
      </c>
      <c r="B3" s="25" t="s">
        <v>35</v>
      </c>
      <c r="C3" s="25" t="s">
        <v>35</v>
      </c>
      <c r="D3" s="25" t="s">
        <v>35</v>
      </c>
      <c r="E3" s="25" t="s">
        <v>59</v>
      </c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</row>
    <row r="4" spans="1:19" s="24" customFormat="1" x14ac:dyDescent="0.15">
      <c r="A4" s="25" t="s">
        <v>36</v>
      </c>
      <c r="B4" s="25" t="s">
        <v>35</v>
      </c>
      <c r="C4" s="25" t="s">
        <v>35</v>
      </c>
      <c r="D4" s="25" t="s">
        <v>35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15">
      <c r="B5">
        <v>1</v>
      </c>
      <c r="C5">
        <v>10002005</v>
      </c>
      <c r="D5">
        <v>2</v>
      </c>
      <c r="E5" t="s">
        <v>129</v>
      </c>
    </row>
    <row r="6" spans="1:19" x14ac:dyDescent="0.15">
      <c r="B6">
        <v>2</v>
      </c>
      <c r="C6">
        <v>10003005</v>
      </c>
      <c r="D6">
        <v>3</v>
      </c>
      <c r="E6" t="s">
        <v>130</v>
      </c>
    </row>
    <row r="7" spans="1:19" x14ac:dyDescent="0.15">
      <c r="B7">
        <v>3</v>
      </c>
      <c r="C7">
        <v>10004005</v>
      </c>
      <c r="D7">
        <v>4</v>
      </c>
      <c r="E7" t="s">
        <v>131</v>
      </c>
    </row>
    <row r="8" spans="1:19" x14ac:dyDescent="0.15">
      <c r="B8">
        <v>4</v>
      </c>
      <c r="C8">
        <v>10005005</v>
      </c>
      <c r="D8">
        <v>5</v>
      </c>
      <c r="E8" t="s">
        <v>132</v>
      </c>
    </row>
  </sheetData>
  <phoneticPr fontId="10" type="noConversion"/>
  <conditionalFormatting sqref="B3:C4 B1:D1 E1:E4 D2:D4">
    <cfRule type="duplicateValues" dxfId="1" priority="1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5"/>
  <sheetViews>
    <sheetView zoomScale="145" zoomScaleNormal="145" workbookViewId="0">
      <selection activeCell="C25" sqref="C25"/>
    </sheetView>
  </sheetViews>
  <sheetFormatPr defaultColWidth="9" defaultRowHeight="13.5" x14ac:dyDescent="0.15"/>
  <cols>
    <col min="1" max="1" width="13.125" customWidth="1"/>
    <col min="2" max="2" width="10.625" customWidth="1"/>
    <col min="3" max="3" width="65.875" customWidth="1"/>
    <col min="4" max="4" width="24.5" customWidth="1"/>
  </cols>
  <sheetData>
    <row r="1" spans="1:13" s="24" customFormat="1" x14ac:dyDescent="0.15">
      <c r="A1" s="25" t="s">
        <v>133</v>
      </c>
      <c r="B1" s="25" t="s">
        <v>1</v>
      </c>
      <c r="C1" s="25" t="s">
        <v>134</v>
      </c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s="24" customFormat="1" x14ac:dyDescent="0.15">
      <c r="A2" s="25"/>
      <c r="B2" s="26" t="s">
        <v>18</v>
      </c>
      <c r="C2" s="25" t="s">
        <v>135</v>
      </c>
      <c r="D2" s="25"/>
      <c r="E2" s="25"/>
      <c r="F2" s="25"/>
      <c r="G2" s="25"/>
      <c r="H2" s="25"/>
      <c r="I2" s="25"/>
      <c r="J2" s="25"/>
      <c r="K2" s="25"/>
      <c r="L2" s="25"/>
      <c r="M2" s="25"/>
    </row>
    <row r="3" spans="1:13" s="24" customFormat="1" x14ac:dyDescent="0.15">
      <c r="A3" s="25" t="s">
        <v>34</v>
      </c>
      <c r="B3" s="25" t="s">
        <v>35</v>
      </c>
      <c r="C3" s="25" t="s">
        <v>59</v>
      </c>
      <c r="D3" s="25"/>
      <c r="E3" s="25"/>
      <c r="F3" s="25"/>
      <c r="G3" s="25"/>
      <c r="H3" s="25"/>
      <c r="I3" s="25"/>
      <c r="J3" s="25"/>
      <c r="K3" s="25"/>
      <c r="L3" s="25"/>
      <c r="M3" s="25"/>
    </row>
    <row r="4" spans="1:13" s="24" customFormat="1" x14ac:dyDescent="0.15">
      <c r="A4" s="25" t="s">
        <v>36</v>
      </c>
      <c r="B4" s="25" t="s">
        <v>35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15">
      <c r="B5">
        <v>1</v>
      </c>
      <c r="C5" t="s">
        <v>136</v>
      </c>
    </row>
    <row r="6" spans="1:13" x14ac:dyDescent="0.15">
      <c r="B6">
        <v>2</v>
      </c>
      <c r="C6" t="s">
        <v>137</v>
      </c>
    </row>
    <row r="7" spans="1:13" x14ac:dyDescent="0.15">
      <c r="B7">
        <v>3</v>
      </c>
      <c r="C7" t="s">
        <v>138</v>
      </c>
    </row>
    <row r="8" spans="1:13" x14ac:dyDescent="0.15">
      <c r="B8">
        <v>4</v>
      </c>
      <c r="C8" t="s">
        <v>139</v>
      </c>
    </row>
    <row r="9" spans="1:13" x14ac:dyDescent="0.15">
      <c r="B9">
        <v>5</v>
      </c>
      <c r="C9" t="s">
        <v>140</v>
      </c>
    </row>
    <row r="10" spans="1:13" x14ac:dyDescent="0.15">
      <c r="B10">
        <v>6</v>
      </c>
      <c r="C10" t="s">
        <v>141</v>
      </c>
    </row>
    <row r="11" spans="1:13" x14ac:dyDescent="0.15">
      <c r="B11">
        <v>7</v>
      </c>
      <c r="C11" t="s">
        <v>142</v>
      </c>
    </row>
    <row r="12" spans="1:13" x14ac:dyDescent="0.15">
      <c r="B12">
        <v>8</v>
      </c>
      <c r="C12" t="s">
        <v>143</v>
      </c>
    </row>
    <row r="13" spans="1:13" x14ac:dyDescent="0.15">
      <c r="B13">
        <v>9</v>
      </c>
      <c r="C13" t="s">
        <v>144</v>
      </c>
    </row>
    <row r="14" spans="1:13" x14ac:dyDescent="0.15">
      <c r="B14">
        <v>10</v>
      </c>
      <c r="C14" t="s">
        <v>145</v>
      </c>
    </row>
    <row r="15" spans="1:13" x14ac:dyDescent="0.15">
      <c r="B15">
        <v>11</v>
      </c>
      <c r="C15" t="s">
        <v>146</v>
      </c>
    </row>
    <row r="16" spans="1:13" x14ac:dyDescent="0.15">
      <c r="B16">
        <v>12</v>
      </c>
      <c r="C16" t="s">
        <v>147</v>
      </c>
    </row>
    <row r="17" spans="2:3" x14ac:dyDescent="0.15">
      <c r="B17">
        <v>13</v>
      </c>
      <c r="C17" t="s">
        <v>148</v>
      </c>
    </row>
    <row r="18" spans="2:3" x14ac:dyDescent="0.15">
      <c r="B18">
        <v>14</v>
      </c>
      <c r="C18" t="s">
        <v>10</v>
      </c>
    </row>
    <row r="19" spans="2:3" x14ac:dyDescent="0.15">
      <c r="B19">
        <v>15</v>
      </c>
      <c r="C19" t="s">
        <v>149</v>
      </c>
    </row>
    <row r="20" spans="2:3" x14ac:dyDescent="0.15">
      <c r="B20">
        <v>16</v>
      </c>
      <c r="C20" t="s">
        <v>150</v>
      </c>
    </row>
    <row r="21" spans="2:3" x14ac:dyDescent="0.15">
      <c r="B21">
        <v>17</v>
      </c>
      <c r="C21" t="s">
        <v>151</v>
      </c>
    </row>
    <row r="22" spans="2:3" x14ac:dyDescent="0.15">
      <c r="B22">
        <v>18</v>
      </c>
      <c r="C22" t="s">
        <v>152</v>
      </c>
    </row>
    <row r="23" spans="2:3" x14ac:dyDescent="0.15">
      <c r="B23">
        <v>19</v>
      </c>
      <c r="C23" t="s">
        <v>153</v>
      </c>
    </row>
    <row r="24" spans="2:3" x14ac:dyDescent="0.15">
      <c r="B24">
        <v>20</v>
      </c>
      <c r="C24" t="s">
        <v>154</v>
      </c>
    </row>
    <row r="25" spans="2:3" x14ac:dyDescent="0.15">
      <c r="B25">
        <v>21</v>
      </c>
      <c r="C25" t="s">
        <v>155</v>
      </c>
    </row>
  </sheetData>
  <phoneticPr fontId="10" type="noConversion"/>
  <conditionalFormatting sqref="B3:B4 B1 C1:C4">
    <cfRule type="duplicateValues" dxfId="0" priority="1"/>
  </conditionalFormatting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</sheetPr>
  <dimension ref="A2:U23"/>
  <sheetViews>
    <sheetView workbookViewId="0">
      <selection activeCell="G36" sqref="G36"/>
    </sheetView>
  </sheetViews>
  <sheetFormatPr defaultColWidth="9" defaultRowHeight="13.5" x14ac:dyDescent="0.15"/>
  <cols>
    <col min="4" max="5" width="17.125" customWidth="1"/>
    <col min="6" max="6" width="19.125" customWidth="1"/>
    <col min="7" max="7" width="20" customWidth="1"/>
  </cols>
  <sheetData>
    <row r="2" spans="2:21" x14ac:dyDescent="0.15">
      <c r="B2" s="2" t="s">
        <v>2</v>
      </c>
      <c r="C2" s="3" t="s">
        <v>156</v>
      </c>
      <c r="D2" s="4" t="s">
        <v>157</v>
      </c>
      <c r="E2" s="4" t="s">
        <v>158</v>
      </c>
      <c r="F2" s="4" t="s">
        <v>159</v>
      </c>
      <c r="G2" s="4" t="s">
        <v>160</v>
      </c>
      <c r="H2" s="3" t="s">
        <v>161</v>
      </c>
      <c r="I2" s="3" t="s">
        <v>162</v>
      </c>
      <c r="J2" s="3" t="s">
        <v>161</v>
      </c>
      <c r="K2" s="3" t="s">
        <v>162</v>
      </c>
      <c r="L2" s="3" t="s">
        <v>161</v>
      </c>
      <c r="M2" s="3" t="s">
        <v>162</v>
      </c>
      <c r="N2" s="3" t="s">
        <v>161</v>
      </c>
      <c r="O2" s="14" t="s">
        <v>162</v>
      </c>
      <c r="Q2" s="34" t="s">
        <v>163</v>
      </c>
      <c r="R2" s="20" t="s">
        <v>164</v>
      </c>
      <c r="S2" s="20"/>
      <c r="T2" s="20"/>
      <c r="U2" s="21"/>
    </row>
    <row r="3" spans="2:21" x14ac:dyDescent="0.15">
      <c r="B3" s="5">
        <v>0</v>
      </c>
      <c r="C3">
        <v>0</v>
      </c>
      <c r="D3" s="6">
        <v>1</v>
      </c>
      <c r="E3" s="7">
        <v>7</v>
      </c>
      <c r="G3">
        <v>0</v>
      </c>
      <c r="O3" s="15"/>
      <c r="Q3" s="35"/>
      <c r="R3" t="s">
        <v>165</v>
      </c>
      <c r="U3" s="22"/>
    </row>
    <row r="4" spans="2:21" x14ac:dyDescent="0.15">
      <c r="B4" s="5">
        <v>1</v>
      </c>
      <c r="C4">
        <v>60</v>
      </c>
      <c r="D4" s="6">
        <v>2</v>
      </c>
      <c r="E4" s="7">
        <v>10</v>
      </c>
      <c r="F4" s="8"/>
      <c r="G4" s="8">
        <v>0.05</v>
      </c>
      <c r="O4" s="15"/>
      <c r="Q4" s="35"/>
      <c r="R4" t="s">
        <v>166</v>
      </c>
      <c r="U4" s="22"/>
    </row>
    <row r="5" spans="2:21" x14ac:dyDescent="0.15">
      <c r="B5" s="5">
        <v>2</v>
      </c>
      <c r="C5">
        <v>300</v>
      </c>
      <c r="D5" s="6">
        <v>2</v>
      </c>
      <c r="E5" s="7">
        <v>13</v>
      </c>
      <c r="F5" s="8"/>
      <c r="G5" s="8">
        <v>0.1</v>
      </c>
      <c r="O5" s="15"/>
      <c r="Q5" s="35"/>
      <c r="R5" t="s">
        <v>160</v>
      </c>
      <c r="U5" s="22"/>
    </row>
    <row r="6" spans="2:21" x14ac:dyDescent="0.15">
      <c r="B6" s="5">
        <v>3</v>
      </c>
      <c r="C6">
        <v>1000</v>
      </c>
      <c r="D6" s="6">
        <v>3</v>
      </c>
      <c r="E6" s="7">
        <v>16</v>
      </c>
      <c r="F6" s="8"/>
      <c r="G6" s="8">
        <v>0.15</v>
      </c>
      <c r="O6" s="15"/>
      <c r="Q6" s="35"/>
      <c r="R6" t="s">
        <v>167</v>
      </c>
      <c r="U6" s="22"/>
    </row>
    <row r="7" spans="2:21" x14ac:dyDescent="0.15">
      <c r="B7" s="5">
        <v>4</v>
      </c>
      <c r="C7">
        <v>2000</v>
      </c>
      <c r="D7" s="6">
        <v>3</v>
      </c>
      <c r="E7" s="7">
        <v>19</v>
      </c>
      <c r="F7" s="8"/>
      <c r="G7" s="8">
        <v>0.2</v>
      </c>
      <c r="H7" t="s">
        <v>168</v>
      </c>
      <c r="I7">
        <v>100</v>
      </c>
      <c r="J7" t="s">
        <v>169</v>
      </c>
      <c r="K7" s="16">
        <v>0.01</v>
      </c>
      <c r="L7" t="s">
        <v>170</v>
      </c>
      <c r="M7">
        <v>1700</v>
      </c>
      <c r="N7" t="s">
        <v>171</v>
      </c>
      <c r="O7" s="17">
        <v>0.01</v>
      </c>
      <c r="Q7" s="35"/>
      <c r="R7" s="10" t="s">
        <v>172</v>
      </c>
      <c r="S7" s="10"/>
      <c r="T7" s="10"/>
      <c r="U7" s="23"/>
    </row>
    <row r="8" spans="2:21" x14ac:dyDescent="0.15">
      <c r="B8" s="5">
        <v>5</v>
      </c>
      <c r="C8">
        <v>5000</v>
      </c>
      <c r="D8" s="6">
        <v>4</v>
      </c>
      <c r="E8" s="7">
        <v>22</v>
      </c>
      <c r="F8" s="8">
        <v>0.2</v>
      </c>
      <c r="G8" s="8">
        <v>0.25</v>
      </c>
      <c r="H8" t="s">
        <v>173</v>
      </c>
      <c r="I8">
        <v>200</v>
      </c>
      <c r="J8" t="s">
        <v>169</v>
      </c>
      <c r="K8" s="16">
        <v>0.01</v>
      </c>
      <c r="L8" t="s">
        <v>174</v>
      </c>
      <c r="M8">
        <v>3400</v>
      </c>
      <c r="N8" t="s">
        <v>171</v>
      </c>
      <c r="O8" s="17">
        <v>0.01</v>
      </c>
    </row>
    <row r="9" spans="2:21" x14ac:dyDescent="0.15">
      <c r="B9" s="5">
        <v>6</v>
      </c>
      <c r="C9">
        <v>8000</v>
      </c>
      <c r="D9" s="6">
        <v>4</v>
      </c>
      <c r="E9" s="7">
        <v>27</v>
      </c>
      <c r="F9" s="8">
        <v>0.2</v>
      </c>
      <c r="G9" s="8">
        <v>0.3</v>
      </c>
      <c r="H9" t="s">
        <v>173</v>
      </c>
      <c r="I9">
        <v>300</v>
      </c>
      <c r="J9" t="s">
        <v>169</v>
      </c>
      <c r="K9" s="16">
        <v>0.02</v>
      </c>
      <c r="L9" t="s">
        <v>174</v>
      </c>
      <c r="M9">
        <v>5100</v>
      </c>
      <c r="N9" t="s">
        <v>171</v>
      </c>
      <c r="O9" s="17">
        <v>0.02</v>
      </c>
    </row>
    <row r="10" spans="2:21" x14ac:dyDescent="0.15">
      <c r="B10" s="5">
        <v>7</v>
      </c>
      <c r="C10">
        <v>15000</v>
      </c>
      <c r="D10" s="6">
        <v>5</v>
      </c>
      <c r="E10" s="7">
        <v>32</v>
      </c>
      <c r="F10" s="8">
        <v>0.25</v>
      </c>
      <c r="G10" s="8">
        <v>0.35</v>
      </c>
      <c r="H10" t="s">
        <v>173</v>
      </c>
      <c r="I10">
        <v>400</v>
      </c>
      <c r="J10" t="s">
        <v>169</v>
      </c>
      <c r="K10" s="16">
        <v>0.02</v>
      </c>
      <c r="L10" t="s">
        <v>174</v>
      </c>
      <c r="M10">
        <v>6800</v>
      </c>
      <c r="N10" t="s">
        <v>171</v>
      </c>
      <c r="O10" s="17">
        <v>0.02</v>
      </c>
    </row>
    <row r="11" spans="2:21" x14ac:dyDescent="0.15">
      <c r="B11" s="5">
        <v>8</v>
      </c>
      <c r="C11">
        <v>24000</v>
      </c>
      <c r="D11" s="6">
        <v>5</v>
      </c>
      <c r="E11" s="7">
        <v>37</v>
      </c>
      <c r="F11" s="8">
        <v>0.25</v>
      </c>
      <c r="G11" s="8">
        <v>0.4</v>
      </c>
      <c r="H11" t="s">
        <v>173</v>
      </c>
      <c r="I11">
        <v>500</v>
      </c>
      <c r="J11" t="s">
        <v>169</v>
      </c>
      <c r="K11" s="16">
        <v>0.03</v>
      </c>
      <c r="L11" t="s">
        <v>174</v>
      </c>
      <c r="M11">
        <v>8500</v>
      </c>
      <c r="N11" t="s">
        <v>171</v>
      </c>
      <c r="O11" s="17">
        <v>0.03</v>
      </c>
    </row>
    <row r="12" spans="2:21" x14ac:dyDescent="0.15">
      <c r="B12" s="5">
        <v>9</v>
      </c>
      <c r="C12">
        <v>36000</v>
      </c>
      <c r="D12" s="6">
        <v>6</v>
      </c>
      <c r="E12" s="7">
        <v>42</v>
      </c>
      <c r="F12" s="8">
        <v>0.3</v>
      </c>
      <c r="G12" s="8">
        <v>0.45</v>
      </c>
      <c r="H12" t="s">
        <v>173</v>
      </c>
      <c r="I12">
        <v>600</v>
      </c>
      <c r="J12" t="s">
        <v>169</v>
      </c>
      <c r="K12" s="16">
        <v>0.03</v>
      </c>
      <c r="L12" t="s">
        <v>174</v>
      </c>
      <c r="M12">
        <v>10200</v>
      </c>
      <c r="N12" t="s">
        <v>171</v>
      </c>
      <c r="O12" s="17">
        <v>0.03</v>
      </c>
    </row>
    <row r="13" spans="2:21" x14ac:dyDescent="0.15">
      <c r="B13" s="5">
        <v>10</v>
      </c>
      <c r="C13">
        <v>50000</v>
      </c>
      <c r="D13" s="6">
        <v>6</v>
      </c>
      <c r="E13" s="7">
        <v>47</v>
      </c>
      <c r="F13" s="8">
        <v>0.3</v>
      </c>
      <c r="G13" s="8">
        <v>0.5</v>
      </c>
      <c r="H13" t="s">
        <v>173</v>
      </c>
      <c r="I13">
        <v>700</v>
      </c>
      <c r="J13" t="s">
        <v>169</v>
      </c>
      <c r="K13" s="16">
        <v>0.04</v>
      </c>
      <c r="L13" t="s">
        <v>174</v>
      </c>
      <c r="M13">
        <v>11900</v>
      </c>
      <c r="N13" t="s">
        <v>171</v>
      </c>
      <c r="O13" s="17">
        <v>0.04</v>
      </c>
    </row>
    <row r="14" spans="2:21" x14ac:dyDescent="0.15">
      <c r="B14" s="5">
        <v>11</v>
      </c>
      <c r="C14">
        <v>80000</v>
      </c>
      <c r="D14" s="6">
        <v>7</v>
      </c>
      <c r="E14" s="7">
        <v>52</v>
      </c>
      <c r="F14" s="8">
        <v>0.4</v>
      </c>
      <c r="G14" s="8">
        <v>0.55000000000000004</v>
      </c>
      <c r="H14" t="s">
        <v>173</v>
      </c>
      <c r="I14">
        <v>800</v>
      </c>
      <c r="J14" t="s">
        <v>169</v>
      </c>
      <c r="K14" s="16">
        <v>0.04</v>
      </c>
      <c r="L14" t="s">
        <v>174</v>
      </c>
      <c r="M14">
        <v>13600</v>
      </c>
      <c r="N14" t="s">
        <v>171</v>
      </c>
      <c r="O14" s="17">
        <v>0.04</v>
      </c>
    </row>
    <row r="15" spans="2:21" x14ac:dyDescent="0.15">
      <c r="B15" s="5">
        <v>12</v>
      </c>
      <c r="C15">
        <v>120000</v>
      </c>
      <c r="D15" s="6">
        <v>7</v>
      </c>
      <c r="E15" s="7">
        <v>57</v>
      </c>
      <c r="F15" s="8">
        <v>0.5</v>
      </c>
      <c r="G15" s="8">
        <v>0.6</v>
      </c>
      <c r="H15" t="s">
        <v>173</v>
      </c>
      <c r="I15">
        <v>900</v>
      </c>
      <c r="J15" t="s">
        <v>169</v>
      </c>
      <c r="K15" s="16">
        <v>0.05</v>
      </c>
      <c r="L15" t="s">
        <v>174</v>
      </c>
      <c r="M15">
        <v>15300</v>
      </c>
      <c r="N15" t="s">
        <v>171</v>
      </c>
      <c r="O15" s="17">
        <v>0.05</v>
      </c>
    </row>
    <row r="16" spans="2:21" x14ac:dyDescent="0.15">
      <c r="B16" s="5">
        <v>13</v>
      </c>
      <c r="C16">
        <v>170000</v>
      </c>
      <c r="D16" s="6">
        <v>8</v>
      </c>
      <c r="E16" s="7">
        <v>62</v>
      </c>
      <c r="F16" s="8">
        <v>0.6</v>
      </c>
      <c r="G16" s="8">
        <v>0.65</v>
      </c>
      <c r="H16" t="s">
        <v>173</v>
      </c>
      <c r="I16">
        <v>1000</v>
      </c>
      <c r="J16" t="s">
        <v>169</v>
      </c>
      <c r="K16" s="16">
        <v>0.05</v>
      </c>
      <c r="L16" t="s">
        <v>174</v>
      </c>
      <c r="M16">
        <v>17000</v>
      </c>
      <c r="N16" t="s">
        <v>171</v>
      </c>
      <c r="O16" s="17">
        <v>0.05</v>
      </c>
    </row>
    <row r="17" spans="1:15" x14ac:dyDescent="0.15">
      <c r="B17" s="5">
        <v>14</v>
      </c>
      <c r="C17">
        <v>250000</v>
      </c>
      <c r="D17" s="6">
        <v>8</v>
      </c>
      <c r="E17" s="7">
        <v>67</v>
      </c>
      <c r="F17" s="8">
        <v>0.7</v>
      </c>
      <c r="G17" s="8">
        <v>0.7</v>
      </c>
      <c r="H17" t="s">
        <v>173</v>
      </c>
      <c r="I17">
        <v>1100</v>
      </c>
      <c r="J17" t="s">
        <v>169</v>
      </c>
      <c r="K17" s="16">
        <v>0.06</v>
      </c>
      <c r="L17" t="s">
        <v>174</v>
      </c>
      <c r="M17">
        <v>18700</v>
      </c>
      <c r="N17" t="s">
        <v>171</v>
      </c>
      <c r="O17" s="17">
        <v>0.06</v>
      </c>
    </row>
    <row r="18" spans="1:15" x14ac:dyDescent="0.15">
      <c r="B18" s="5">
        <v>15</v>
      </c>
      <c r="C18">
        <v>420000</v>
      </c>
      <c r="D18" s="6">
        <v>9</v>
      </c>
      <c r="E18" s="7">
        <v>72</v>
      </c>
      <c r="F18" s="8">
        <v>0.8</v>
      </c>
      <c r="G18" s="8">
        <v>0.75</v>
      </c>
      <c r="H18" t="s">
        <v>173</v>
      </c>
      <c r="I18">
        <v>1200</v>
      </c>
      <c r="J18" t="s">
        <v>169</v>
      </c>
      <c r="K18" s="16">
        <v>0.06</v>
      </c>
      <c r="L18" t="s">
        <v>174</v>
      </c>
      <c r="M18">
        <v>20400</v>
      </c>
      <c r="N18" t="s">
        <v>171</v>
      </c>
      <c r="O18" s="17">
        <v>0.06</v>
      </c>
    </row>
    <row r="19" spans="1:15" x14ac:dyDescent="0.15">
      <c r="B19" s="5">
        <v>16</v>
      </c>
      <c r="C19">
        <v>780000</v>
      </c>
      <c r="D19" s="6">
        <v>9</v>
      </c>
      <c r="E19" s="7">
        <v>77</v>
      </c>
      <c r="F19" s="8">
        <v>0.9</v>
      </c>
      <c r="G19" s="8">
        <v>0.8</v>
      </c>
      <c r="H19" t="s">
        <v>173</v>
      </c>
      <c r="I19">
        <v>1300</v>
      </c>
      <c r="J19" t="s">
        <v>169</v>
      </c>
      <c r="K19" s="16">
        <v>7.0000000000000007E-2</v>
      </c>
      <c r="L19" t="s">
        <v>174</v>
      </c>
      <c r="M19">
        <v>22100</v>
      </c>
      <c r="N19" t="s">
        <v>171</v>
      </c>
      <c r="O19" s="17">
        <v>7.0000000000000007E-2</v>
      </c>
    </row>
    <row r="20" spans="1:15" x14ac:dyDescent="0.15">
      <c r="B20" s="5">
        <v>17</v>
      </c>
      <c r="C20">
        <v>1300000</v>
      </c>
      <c r="D20" s="6">
        <v>10</v>
      </c>
      <c r="E20" s="7">
        <v>82</v>
      </c>
      <c r="F20" s="8">
        <v>1</v>
      </c>
      <c r="G20" s="8">
        <v>0.85</v>
      </c>
      <c r="H20" t="s">
        <v>173</v>
      </c>
      <c r="I20">
        <v>1400</v>
      </c>
      <c r="J20" t="s">
        <v>169</v>
      </c>
      <c r="K20" s="16">
        <v>7.0000000000000007E-2</v>
      </c>
      <c r="L20" t="s">
        <v>174</v>
      </c>
      <c r="M20">
        <v>23800</v>
      </c>
      <c r="N20" t="s">
        <v>171</v>
      </c>
      <c r="O20" s="17">
        <v>7.0000000000000007E-2</v>
      </c>
    </row>
    <row r="21" spans="1:15" x14ac:dyDescent="0.15">
      <c r="B21" s="9">
        <v>18</v>
      </c>
      <c r="C21" s="10">
        <v>2000000</v>
      </c>
      <c r="D21" s="11">
        <v>11</v>
      </c>
      <c r="E21" s="12">
        <v>87</v>
      </c>
      <c r="F21" s="13">
        <v>1.1000000000000001</v>
      </c>
      <c r="G21" s="13">
        <v>0.9</v>
      </c>
      <c r="H21" s="10" t="s">
        <v>173</v>
      </c>
      <c r="I21" s="10">
        <v>1500</v>
      </c>
      <c r="J21" s="10" t="s">
        <v>169</v>
      </c>
      <c r="K21" s="18">
        <v>0.08</v>
      </c>
      <c r="L21" s="10" t="s">
        <v>174</v>
      </c>
      <c r="M21" s="10">
        <v>25500</v>
      </c>
      <c r="N21" s="10" t="s">
        <v>171</v>
      </c>
      <c r="O21" s="19">
        <v>0.08</v>
      </c>
    </row>
    <row r="22" spans="1:15" x14ac:dyDescent="0.15">
      <c r="A22" s="7" t="s">
        <v>175</v>
      </c>
    </row>
    <row r="23" spans="1:15" x14ac:dyDescent="0.15">
      <c r="B23" t="s">
        <v>176</v>
      </c>
    </row>
  </sheetData>
  <mergeCells count="1">
    <mergeCell ref="Q2:Q7"/>
  </mergeCells>
  <phoneticPr fontId="10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>
      <selection activeCell="E29" sqref="E29"/>
    </sheetView>
  </sheetViews>
  <sheetFormatPr defaultColWidth="9" defaultRowHeight="13.5" x14ac:dyDescent="0.15"/>
  <sheetData>
    <row r="1" spans="1:2" x14ac:dyDescent="0.15">
      <c r="A1" s="1" t="s">
        <v>177</v>
      </c>
      <c r="B1" s="1" t="s">
        <v>178</v>
      </c>
    </row>
    <row r="2" spans="1:2" x14ac:dyDescent="0.15">
      <c r="A2">
        <v>11001</v>
      </c>
      <c r="B2" t="s">
        <v>168</v>
      </c>
    </row>
    <row r="3" spans="1:2" x14ac:dyDescent="0.15">
      <c r="A3">
        <v>11002</v>
      </c>
      <c r="B3" t="s">
        <v>170</v>
      </c>
    </row>
    <row r="4" spans="1:2" x14ac:dyDescent="0.15">
      <c r="A4">
        <v>11030</v>
      </c>
      <c r="B4" t="s">
        <v>179</v>
      </c>
    </row>
    <row r="5" spans="1:2" x14ac:dyDescent="0.15">
      <c r="A5">
        <v>11031</v>
      </c>
      <c r="B5" t="s">
        <v>180</v>
      </c>
    </row>
  </sheetData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t_vip</vt:lpstr>
      <vt:lpstr>t_vip_upgrade</vt:lpstr>
      <vt:lpstr>t_vip_upgrade_tips</vt:lpstr>
      <vt:lpstr>t_vip_text</vt:lpstr>
      <vt:lpstr>规划（弃用）</vt:lpstr>
      <vt:lpstr>属性说明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2023-05-13T11:15:00Z</dcterms:created>
  <dcterms:modified xsi:type="dcterms:W3CDTF">2025-04-10T06:37:11Z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2052-12.1.0.20305</vt:lpwstr>
  </property>
</Properties>
</file>