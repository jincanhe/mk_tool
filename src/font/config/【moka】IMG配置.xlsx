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t_activity_img" sheetId="1" r:id="rId1"/>
    <sheet name="t_activity_entrance" sheetId="2" r:id="rId2"/>
  </sheets>
  <definedNames>
    <definedName name="_xlnm._FilterDatabase" localSheetId="0" hidden="1">t_activity_img!$A$1:$M$188</definedName>
    <definedName name="_xlnm._FilterDatabase" localSheetId="1" hidden="1">t_activity_entrance!$A$1:$K$69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<sst xmlns="http://schemas.openxmlformats.org/spreadsheetml/2006/main" count="1197" uniqueCount="575">
  <si>
    <t>t_activity_img</t>
  </si>
  <si>
    <t>[index]</t>
  </si>
  <si>
    <t>备注</t>
  </si>
  <si>
    <t>图标</t>
  </si>
  <si>
    <t>banner</t>
  </si>
  <si>
    <t>备注（下面）</t>
  </si>
  <si>
    <t>优先级</t>
  </si>
  <si>
    <t>活动分类</t>
  </si>
  <si>
    <t>标题</t>
  </si>
  <si>
    <t>活动模板类型</t>
  </si>
  <si>
    <t>id</t>
  </si>
  <si>
    <t>img_icon</t>
  </si>
  <si>
    <t>img_title</t>
  </si>
  <si>
    <t>img_bg</t>
  </si>
  <si>
    <t>slogan</t>
  </si>
  <si>
    <t>des</t>
  </si>
  <si>
    <t>priority</t>
  </si>
  <si>
    <t>entrance</t>
  </si>
  <si>
    <t>des_title</t>
  </si>
  <si>
    <t>typeCode</t>
  </si>
  <si>
    <t>CLIENT</t>
  </si>
  <si>
    <t>int</t>
  </si>
  <si>
    <t>string</t>
  </si>
  <si>
    <t>SERVER</t>
  </si>
  <si>
    <t>1-永久加钟</t>
  </si>
  <si>
    <t>activityIcon/common_icon_dhlb</t>
  </si>
  <si>
    <r>
      <rPr>
        <sz val="10"/>
        <color rgb="FF000000"/>
        <rFont val="宋体"/>
        <charset val="134"/>
      </rPr>
      <t>["banner/xhhd/xhhd_img_tbdb"]</t>
    </r>
  </si>
  <si>
    <t>["activityBg/ztzg/sbzg_img_di"]</t>
  </si>
  <si>
    <t>["永久加钟"]</t>
  </si>
  <si>
    <t>永久加钟</t>
  </si>
  <si>
    <t>VIP礼包</t>
  </si>
  <si>
    <t>activityIcon/common_yqtb_VIPtequan</t>
  </si>
  <si>
    <t>vip礼包</t>
  </si>
  <si>
    <t>["VIP礼包"]</t>
  </si>
  <si>
    <t>VIP特权</t>
  </si>
  <si>
    <t>每日签到</t>
  </si>
  <si>
    <t>activityIcon/common_yqtb_qiandao</t>
  </si>
  <si>
    <t>["banner/mrqd/mrqd_img_mrqd"]</t>
  </si>
  <si>
    <t>免费基金</t>
  </si>
  <si>
    <t>["免费基金"]</t>
  </si>
  <si>
    <t>日惠礼包</t>
  </si>
  <si>
    <t>activityIcon/common_yqtb_zhouqilb</t>
  </si>
  <si>
    <t>["日惠礼包"]</t>
  </si>
  <si>
    <t>每日礼包</t>
  </si>
  <si>
    <t>周惠礼包</t>
  </si>
  <si>
    <t>["banner/xhhd/banner_img_mzxglb"]</t>
  </si>
  <si>
    <t>["周惠礼包"]</t>
  </si>
  <si>
    <t>每周礼包</t>
  </si>
  <si>
    <t>月惠礼包</t>
  </si>
  <si>
    <t>["banner/xhhd/banner_img_myxglb"]</t>
  </si>
  <si>
    <t>["月惠礼包"]</t>
  </si>
  <si>
    <t>每月礼包</t>
  </si>
  <si>
    <t>每日特惠</t>
  </si>
  <si>
    <t>["每日特惠"]</t>
  </si>
  <si>
    <t>每日免费奖励</t>
  </si>
  <si>
    <t>["每日免费奖励"]</t>
  </si>
  <si>
    <t>超值月卡</t>
  </si>
  <si>
    <t>activityIcon/common_yqtb_tequanka</t>
  </si>
  <si>
    <t>["月卡"]</t>
  </si>
  <si>
    <t>月卡</t>
  </si>
  <si>
    <t>至尊月卡</t>
  </si>
  <si>
    <t>["至尊月卡"]</t>
  </si>
  <si>
    <t>终身卡</t>
  </si>
  <si>
    <t>["终身卡"]</t>
  </si>
  <si>
    <t>首充</t>
  </si>
  <si>
    <t>["首充"]</t>
  </si>
  <si>
    <t>推送礼包</t>
  </si>
  <si>
    <t>限时礼包</t>
  </si>
  <si>
    <t>["关卡推送礼包"]</t>
  </si>
  <si>
    <t>13-抽卡达标</t>
  </si>
  <si>
    <t>activityIcon/common_yqtb_huanlingdb</t>
  </si>
  <si>
    <t>["唤灵达标"]</t>
  </si>
  <si>
    <t>抽卡达标</t>
  </si>
  <si>
    <t>10013-宝箱积分达标</t>
  </si>
  <si>
    <t>activityIcon/common_yqtb_longjingdb</t>
  </si>
  <si>
    <t>["秘宝达标"]</t>
  </si>
  <si>
    <t>宝箱积分达标</t>
  </si>
  <si>
    <t>14-抽卡礼包</t>
  </si>
  <si>
    <t>["新服礼包"]</t>
  </si>
  <si>
    <t>抽卡礼包</t>
  </si>
  <si>
    <t>10014-龙晶礼包</t>
  </si>
  <si>
    <t>龙晶礼包</t>
  </si>
  <si>
    <t>累充活动</t>
  </si>
  <si>
    <t>["新服累充"]</t>
  </si>
  <si>
    <t>英雄推送礼包</t>
  </si>
  <si>
    <t>["英雄推送礼包"]</t>
  </si>
  <si>
    <t>地牢通关推送礼包</t>
  </si>
  <si>
    <t>["地牢通关推送礼包"]</t>
  </si>
  <si>
    <t>转职阶数推送礼包</t>
  </si>
  <si>
    <t>["转职阶数推送礼包"]</t>
  </si>
  <si>
    <t>日常战令</t>
  </si>
  <si>
    <t>["日常战令"]</t>
  </si>
  <si>
    <t>竞技场战令</t>
  </si>
  <si>
    <t>["竞技战令"]</t>
  </si>
  <si>
    <t>关卡战令10-200</t>
  </si>
  <si>
    <t>["关卡战令"]</t>
  </si>
  <si>
    <t>关卡战令</t>
  </si>
  <si>
    <t>等级战令</t>
  </si>
  <si>
    <t>["等级战令"]</t>
  </si>
  <si>
    <t>爬塔战令</t>
  </si>
  <si>
    <t>无尽战令</t>
  </si>
  <si>
    <t>["无尽战令"]</t>
  </si>
  <si>
    <t>关卡战令210-400</t>
  </si>
  <si>
    <t>充值档位</t>
  </si>
  <si>
    <t>activityIcon/common_yqtb_chongzhi</t>
  </si>
  <si>
    <t>["充值档位"]</t>
  </si>
  <si>
    <t>开服签到</t>
  </si>
  <si>
    <t>八日签到</t>
  </si>
  <si>
    <t>["新服签到"]</t>
  </si>
  <si>
    <t>新服签到</t>
  </si>
  <si>
    <t>23-连续充值</t>
  </si>
  <si>
    <t>activityIcon/common_yqtb_lianxucz</t>
  </si>
  <si>
    <t>["连续充值"]</t>
  </si>
  <si>
    <t>连续累充</t>
  </si>
  <si>
    <t>25-悲鸣沼泽</t>
  </si>
  <si>
    <t>["悲鸣沼泽"]</t>
  </si>
  <si>
    <t>悲鸣沼泽</t>
  </si>
  <si>
    <t>免费千抽</t>
  </si>
  <si>
    <t>["免费千抽"]</t>
  </si>
  <si>
    <t>零元购</t>
  </si>
  <si>
    <t>["零元购"]</t>
  </si>
  <si>
    <t>七日狂欢-玩法目标</t>
  </si>
  <si>
    <t>activityIcon/common_yqtb_kuanghuanrw2</t>
  </si>
  <si>
    <t>玩法目标</t>
  </si>
  <si>
    <t>["玩法目标"]</t>
  </si>
  <si>
    <t>七日狂欢-养成目标</t>
  </si>
  <si>
    <t>activityIcon/common_yqtb_kuanghuanrw</t>
  </si>
  <si>
    <t>养成目标</t>
  </si>
  <si>
    <t>["养成目标"]</t>
  </si>
  <si>
    <t>七日狂欢-折扣福利</t>
  </si>
  <si>
    <t>activityIcon/common_yqtb_kuanghuanth</t>
  </si>
  <si>
    <t>折扣福利</t>
  </si>
  <si>
    <t>["折扣福利"]</t>
  </si>
  <si>
    <t>精英试炼-玩法目标</t>
  </si>
  <si>
    <t>精英试炼-养成目标</t>
  </si>
  <si>
    <t>精英试炼-折扣福利</t>
  </si>
  <si>
    <t>招财猫</t>
  </si>
  <si>
    <t>["招财猫"]</t>
  </si>
  <si>
    <t>购买首充推送礼包</t>
  </si>
  <si>
    <t>["推送礼包"]</t>
  </si>
  <si>
    <t>英灵降世</t>
  </si>
  <si>
    <t>["英灵降世"]</t>
  </si>
  <si>
    <t>神谕战魂</t>
  </si>
  <si>
    <t>["神谕战魂"]</t>
  </si>
  <si>
    <t>神兽献礼</t>
  </si>
  <si>
    <t>["神兽献礼"]</t>
  </si>
  <si>
    <t>不朽战魂</t>
  </si>
  <si>
    <t>["不朽战魂"]</t>
  </si>
  <si>
    <t>自选升星</t>
  </si>
  <si>
    <t>activityIcon/common_icon_zixuanshengxing</t>
  </si>
  <si>
    <t>["banner/zxsx/banner_img_zxsx"]</t>
  </si>
  <si>
    <t>"</t>
  </si>
  <si>
    <t>每日累充</t>
  </si>
  <si>
    <t>冲刺升级</t>
  </si>
  <si>
    <t>activityIcon/common_yqtb_shengjihaoli</t>
  </si>
  <si>
    <t>["banner/xhhd/banner_img_ccsj"]</t>
  </si>
  <si>
    <t>新服特惠</t>
  </si>
  <si>
    <t>activityIcon/common_yqtb_xinfuhaoli</t>
  </si>
  <si>
    <t>["banner/xhhd/banner_img_xfth"]</t>
  </si>
  <si>
    <t>充值排行榜</t>
  </si>
  <si>
    <t>activityIcon/common_yqtb_chongzhipaihang</t>
  </si>
  <si>
    <t>["activityBg/czph/czph_bg_cj"]</t>
  </si>
  <si>
    <t>特权礼包</t>
  </si>
  <si>
    <t>activityIcon/common_yqtb_tequanlibao</t>
  </si>
  <si>
    <t>["banner/xhhd/banner_img_tqlb"]</t>
  </si>
  <si>
    <t>超值基金</t>
  </si>
  <si>
    <t>activityIcon/common_yqtb_chaozhijijin</t>
  </si>
  <si>
    <t>["banner/xhhd/banner_img_czjj"]</t>
  </si>
  <si>
    <t>至尊基金</t>
  </si>
  <si>
    <t>activityIcon/common_yqtb_zhizunjijin</t>
  </si>
  <si>
    <t>["banner/xhhd/banner_img_zxjj"]</t>
  </si>
  <si>
    <t>每日宝库</t>
  </si>
  <si>
    <t>activityIcon/common_yqtb_meiribaoku</t>
  </si>
  <si>
    <t>["banner/xhhd/banner_img_mrbk"]</t>
  </si>
  <si>
    <t>免费百抽</t>
  </si>
  <si>
    <t>领主密令</t>
  </si>
  <si>
    <t>activityIcon/common_yqtb_yinhexuanshang</t>
  </si>
  <si>
    <t>["banner/yhxs/banner_img_yhxs"]</t>
  </si>
  <si>
    <t>虚空破晓</t>
  </si>
  <si>
    <t>activityIcon/common_yqtb_xukongpoxiao</t>
  </si>
  <si>
    <t>["banner/xk_bt_xkpx"]</t>
  </si>
  <si>
    <t>["activityBg/xk_bg_bj.jpg"]</t>
  </si>
  <si>
    <t>虚空战令</t>
  </si>
  <si>
    <t>activityIcon/common_yqtb_xukongzhanling</t>
  </si>
  <si>
    <t>["banner/banner_img_xkzl"]</t>
  </si>
  <si>
    <t>虚空礼包</t>
  </si>
  <si>
    <t>activityIcon/common_yqtb_xukonglibao</t>
  </si>
  <si>
    <t>["banner/banner_img_xklb"]</t>
  </si>
  <si>
    <t>军团降临</t>
  </si>
  <si>
    <t>战魂圣殿</t>
  </si>
  <si>
    <t>activityIcon/common_yqtb_zhanhunmizang</t>
  </si>
  <si>
    <t>战魂礼包</t>
  </si>
  <si>
    <t>activityIcon/common_yqtb_zhanhunlibao</t>
  </si>
  <si>
    <t>["banner/banner_img_zhlb"]</t>
  </si>
  <si>
    <t>升星达标</t>
  </si>
  <si>
    <t>activityIcon/common_yqtb_shengxingdabiao</t>
  </si>
  <si>
    <t>["banner/banner_img_sxdb"]</t>
  </si>
  <si>
    <t>英灵达标</t>
  </si>
  <si>
    <t>activityIcon/common_yqtb_yinglingdabiao</t>
  </si>
  <si>
    <t>["banner/banner_img_yldb"]</t>
  </si>
  <si>
    <t>阵营达标</t>
  </si>
  <si>
    <t>activityIcon/common_yqtb_zhenyingdabiao</t>
  </si>
  <si>
    <t>["banner/banner_img_zydb"]</t>
  </si>
  <si>
    <t>星宫战令</t>
  </si>
  <si>
    <t>activityIcon/common_yqtb_xinggongzhanling</t>
  </si>
  <si>
    <t>["banner/banner_img_xgzl"]</t>
  </si>
  <si>
    <t>activityIcon/common_yqtb_zhanhunlibao1</t>
  </si>
  <si>
    <t>["banner/banner_img_zhlb1"]</t>
  </si>
  <si>
    <t>战魂战令</t>
  </si>
  <si>
    <t>activityIcon/common_yqtb_zhanhunzhanling</t>
  </si>
  <si>
    <t>["banner/banner_img_zhzl"]</t>
  </si>
  <si>
    <t>战魂排行榜</t>
  </si>
  <si>
    <t>神像礼包</t>
  </si>
  <si>
    <t>activityIcon/common_yqtb_fuzhenlibao</t>
  </si>
  <si>
    <t>["banner/banner_img_fzlb"]</t>
  </si>
  <si>
    <t>神像战令</t>
  </si>
  <si>
    <t>activityIcon/common_yqtb_fuzhenzhanling</t>
  </si>
  <si>
    <t>["banner/banner_img_fzzl"]</t>
  </si>
  <si>
    <t>神像排行榜</t>
  </si>
  <si>
    <t>每日任务</t>
  </si>
  <si>
    <t>activityIcon/common_yqtb_meirirenwu</t>
  </si>
  <si>
    <t>["banner/banner_img_mrrw"]</t>
  </si>
  <si>
    <t>福运签到</t>
  </si>
  <si>
    <t>activityIcon/common_yqtb_fuyunqiandao</t>
  </si>
  <si>
    <t>["banner/banner_img_fyqd"]</t>
  </si>
  <si>
    <t>福运挑战</t>
  </si>
  <si>
    <t>activityIcon/common_yqtb_fuyuntiaozhan</t>
  </si>
  <si>
    <t>新春商店</t>
  </si>
  <si>
    <t>activityIcon/common_yqtb_xinchunshangdian</t>
  </si>
  <si>
    <t>["banner/banner_img_xcsd"]</t>
  </si>
  <si>
    <t>["activityBg/xchd_bg_shangdian.jpg"]</t>
  </si>
  <si>
    <t>新春战令</t>
  </si>
  <si>
    <t>activityIcon/common_yqtb_xinchunzhanling</t>
  </si>
  <si>
    <t>["banner/banner_img_xczl"]</t>
  </si>
  <si>
    <t>福运礼包</t>
  </si>
  <si>
    <t>activityIcon/common_yqtb_fuyunlibao</t>
  </si>
  <si>
    <t>["banner/banner_img_fylb"]</t>
  </si>
  <si>
    <t>历练礼包</t>
  </si>
  <si>
    <t>activityIcon/common_yqtb_lilianlibao</t>
  </si>
  <si>
    <t>["banner/banner_img_lllb"]</t>
  </si>
  <si>
    <t>历练战令</t>
  </si>
  <si>
    <t>activityIcon/common_yqtb_lilianzhanling</t>
  </si>
  <si>
    <t>["banner/banner_img_llzl"]</t>
  </si>
  <si>
    <t>历练任务</t>
  </si>
  <si>
    <t>activityIcon/common_yqtb_lilianrenwu</t>
  </si>
  <si>
    <t>["banner/banner_img_llrw"]</t>
  </si>
  <si>
    <t>元宵任务</t>
  </si>
  <si>
    <t>["banner/banner_img_mrrwyx"]</t>
  </si>
  <si>
    <t>元宵签到</t>
  </si>
  <si>
    <t>元宵挑战</t>
  </si>
  <si>
    <t>元宵商店</t>
  </si>
  <si>
    <t>元宵战令</t>
  </si>
  <si>
    <t>activityIcon/common_yqtb_yuanxiaozhanling</t>
  </si>
  <si>
    <t>["banner/banner_img_yxzl"]</t>
  </si>
  <si>
    <t>元宵礼包</t>
  </si>
  <si>
    <t>activityIcon/common_yqtb_yuanxiaolibao</t>
  </si>
  <si>
    <t>["banner/banner_img_yxlb"]</t>
  </si>
  <si>
    <t>宝石礼包</t>
  </si>
  <si>
    <t>activityIcon/common_yqtb_mwlb</t>
  </si>
  <si>
    <t>["banner/banner_img_mwlb"]</t>
  </si>
  <si>
    <t>宝石战令</t>
  </si>
  <si>
    <t>activityIcon/common_yqtb_mwzl</t>
  </si>
  <si>
    <t>["banner/banner_img_mwzl"]</t>
  </si>
  <si>
    <t>宝石排行榜</t>
  </si>
  <si>
    <t>宝石达标</t>
  </si>
  <si>
    <t>activityIcon/common_yqtb_baoshidabiao</t>
  </si>
  <si>
    <t>["banner/banner_img_bsdb"]</t>
  </si>
  <si>
    <t>古神战令</t>
  </si>
  <si>
    <t>activityIcon/common_yqtb_gushenzhanling</t>
  </si>
  <si>
    <t>["banner/banner_img_gszl"]</t>
  </si>
  <si>
    <t>["activity/ui/bg/zh_img_tcdi"]</t>
  </si>
  <si>
    <t>虚空行者</t>
  </si>
  <si>
    <t>["banner/xkxz_bt_xkpx"]</t>
  </si>
  <si>
    <t>["activityBg/xkxz_bg_bj.jpg"]</t>
  </si>
  <si>
    <t>["banner/banner_img_xkzl1"]</t>
  </si>
  <si>
    <t>["banner/banner_img_xklb1"]</t>
  </si>
  <si>
    <t>神兽战令</t>
  </si>
  <si>
    <t>activityIcon/common_yqtb_shenshouzhanling</t>
  </si>
  <si>
    <t>["banner/banner_img_sszl"]</t>
  </si>
  <si>
    <t>神兽任务</t>
  </si>
  <si>
    <t>activityIcon/common_yqtb_shenshourenwu</t>
  </si>
  <si>
    <t>["banner/banner_img_ssrw"]</t>
  </si>
  <si>
    <t>神兽达标</t>
  </si>
  <si>
    <t>activityIcon/common_yqtb_shenshoudabiao</t>
  </si>
  <si>
    <t>["banner/banner_img_ssdb"]</t>
  </si>
  <si>
    <t>神兽排行榜</t>
  </si>
  <si>
    <t>神兽礼包</t>
  </si>
  <si>
    <t>activityIcon/common_yqtb_shenshoulibao</t>
  </si>
  <si>
    <t>["banner/banner_img_sslb"]</t>
  </si>
  <si>
    <t>神兽礼包（常驻）</t>
  </si>
  <si>
    <t>["banner/banner_img_sslb1"]</t>
  </si>
  <si>
    <t>["神兽礼包"]</t>
  </si>
  <si>
    <t>荣耀战令</t>
  </si>
  <si>
    <t>activityIcon/common_yqtb_rongyaozhanling</t>
  </si>
  <si>
    <t>["banner/banner_img_slzl"]</t>
  </si>
  <si>
    <t>["荣耀战令"]</t>
  </si>
  <si>
    <t>战魂达标</t>
  </si>
  <si>
    <t>activityIcon/common_yqtb_zhanhundabiao</t>
  </si>
  <si>
    <t>["banner/banner_img_zhdb"]</t>
  </si>
  <si>
    <t>战魂任务</t>
  </si>
  <si>
    <t>activityIcon/common_yqtb_zhanhunrenwu</t>
  </si>
  <si>
    <t>["banner/banner_img_zhrw"]</t>
  </si>
  <si>
    <t>["banner/banner_img_xzhzl"]</t>
  </si>
  <si>
    <t>神器战令</t>
  </si>
  <si>
    <t>activityIcon/common_yqtb_shenqizhanling</t>
  </si>
  <si>
    <t>["banner/banner_img_sqzl"]</t>
  </si>
  <si>
    <t>神器任务</t>
  </si>
  <si>
    <t>activityIcon/common_yqtb_shenqirenwu</t>
  </si>
  <si>
    <t>["banner/banner_img_sqrw"]</t>
  </si>
  <si>
    <t>神器达标</t>
  </si>
  <si>
    <t>activityIcon/common_yqtb_shenqidabiao</t>
  </si>
  <si>
    <t>["banner/banner_img_sqdb"]</t>
  </si>
  <si>
    <t>神器排行榜</t>
  </si>
  <si>
    <t>神器礼包</t>
  </si>
  <si>
    <t>activityIcon/common_yqtb_shenqilibao</t>
  </si>
  <si>
    <t>["banner/banner_img_sqlb"]</t>
  </si>
  <si>
    <t>圣碑战令</t>
  </si>
  <si>
    <t>activityIcon/common_yqtb_shengbeizhangling</t>
  </si>
  <si>
    <t>["banner/banner_img_sbzl"]</t>
  </si>
  <si>
    <t>植树织春</t>
  </si>
  <si>
    <t>activityIcon/common_yqtb_zhishuzhichun</t>
  </si>
  <si>
    <t>森临之战</t>
  </si>
  <si>
    <t>activityIcon/common_yqtb_zhishutiaozhan</t>
  </si>
  <si>
    <t>植树任务</t>
  </si>
  <si>
    <t>activityIcon/common_yqtb_zhishurenwu</t>
  </si>
  <si>
    <t>["banner/banner_img_zsrw"]</t>
  </si>
  <si>
    <t>植树礼包</t>
  </si>
  <si>
    <t>activityIcon/common_yqtb_zhishulibao</t>
  </si>
  <si>
    <t>["banner/banner_img_zslb"]</t>
  </si>
  <si>
    <t>植树战令</t>
  </si>
  <si>
    <t>activityIcon/common_yqtb_zhishuzhanling</t>
  </si>
  <si>
    <t>["banner/banner_img_zszl"]</t>
  </si>
  <si>
    <t>植树商店</t>
  </si>
  <si>
    <t>activityIcon/common_yqtb_zhishushangdian</t>
  </si>
  <si>
    <t>["activityBg/zshd_bg_shangdian.jpg"]</t>
  </si>
  <si>
    <t>钻石达标</t>
  </si>
  <si>
    <t>activityIcon/common_yqtb_zhuanshidabiao</t>
  </si>
  <si>
    <t>["banner/banner_img_zsdb"]</t>
  </si>
  <si>
    <t>钻石礼包</t>
  </si>
  <si>
    <t>activityIcon/common_yqtb_chaozhilibao</t>
  </si>
  <si>
    <t>["banner/banner_img_zsczlb"]</t>
  </si>
  <si>
    <t>召唤达标</t>
  </si>
  <si>
    <t>activityIcon/common_yqtb_zhaohuandabiao</t>
  </si>
  <si>
    <t>召唤礼包</t>
  </si>
  <si>
    <t>activityIcon/common_yqtb_zhaohuanlibao</t>
  </si>
  <si>
    <t>["banner/banner_img_czlb"]</t>
  </si>
  <si>
    <t>组队活动</t>
  </si>
  <si>
    <t>转轮祈愿</t>
  </si>
  <si>
    <t>activityIcon/common_yqtb_qiyuanzhilun</t>
  </si>
  <si>
    <t>["banner/banner_img_qydb"]</t>
  </si>
  <si>
    <t>转盘达标</t>
  </si>
  <si>
    <t>activityIcon/common_yqtb_qiyuandabiao</t>
  </si>
  <si>
    <t>祈福礼包</t>
  </si>
  <si>
    <t>activityIcon/common_yqtb_qiyuanlibao</t>
  </si>
  <si>
    <t>["banner/banner_img_qflb"]</t>
  </si>
  <si>
    <t>苍冥龙甲</t>
  </si>
  <si>
    <t>activityIcon/common_yqtb_xukongpifu</t>
  </si>
  <si>
    <t>手机绑定</t>
  </si>
  <si>
    <t>添加桌面</t>
  </si>
  <si>
    <t>侧边栏添加</t>
  </si>
  <si>
    <t>联系客服</t>
  </si>
  <si>
    <t>金卡商城</t>
  </si>
  <si>
    <t>["activityBg/ztzg/cz_bg_jinka.jpg"]</t>
  </si>
  <si>
    <t>魔镜秘宝</t>
  </si>
  <si>
    <t>activityIcon/common_yqtb_mojingmibao</t>
  </si>
  <si>
    <t>魔镜礼包</t>
  </si>
  <si>
    <t>activityIcon/common_yqtb_mojinglibao</t>
  </si>
  <si>
    <t>["banner/banner_img_mjlb"]</t>
  </si>
  <si>
    <t>魔镜任务</t>
  </si>
  <si>
    <t>activityIcon/common_yqtb_mojingrenwu</t>
  </si>
  <si>
    <t>["banner/banner_img_mjrw"]</t>
  </si>
  <si>
    <t>魔镜战令</t>
  </si>
  <si>
    <t>activityIcon/common_yqtb_mojingzhanling</t>
  </si>
  <si>
    <t>["banner/banner_img_mjzl"]</t>
  </si>
  <si>
    <t>魔镜商店</t>
  </si>
  <si>
    <t>activityIcon/common_yqtb_mojingshangcheng</t>
  </si>
  <si>
    <t>["activityBg/mjmb_bg_shangdian.jpg"]</t>
  </si>
  <si>
    <t>绿野奇遇</t>
  </si>
  <si>
    <t>activityIcon/common_yqtb_lvyeqiyu</t>
  </si>
  <si>
    <t>奇遇礼包</t>
  </si>
  <si>
    <t>activityIcon/common_yqtb_qiyulibao</t>
  </si>
  <si>
    <t>["banner/banner_img_qylb"]</t>
  </si>
  <si>
    <t>奇遇任务</t>
  </si>
  <si>
    <t>activityIcon/common_yqtb_qiyurenwu</t>
  </si>
  <si>
    <t>["banner/banner_img_qyrw"]</t>
  </si>
  <si>
    <t>奇遇战令</t>
  </si>
  <si>
    <t>activityIcon/common_yqtb_qiyuzhanling</t>
  </si>
  <si>
    <t>["banner/banner_img_qyzl"]</t>
  </si>
  <si>
    <t>奇遇商城</t>
  </si>
  <si>
    <t>activityIcon/common_yqtb_qiyushangchang</t>
  </si>
  <si>
    <t>["activityBg/dds_bg_shangdian.jpg"]</t>
  </si>
  <si>
    <t>燃魂圣甲</t>
  </si>
  <si>
    <t>activityIcon/common_yqtb_ranhunshengjia</t>
  </si>
  <si>
    <t>美食物语</t>
  </si>
  <si>
    <t>activityIcon/common_yqtb_meishiwuyu</t>
  </si>
  <si>
    <t>美食礼包</t>
  </si>
  <si>
    <t>activityIcon/common_yqtb_meishilibao</t>
  </si>
  <si>
    <t>["banner/banner_img_mslb"]</t>
  </si>
  <si>
    <t>美食任务</t>
  </si>
  <si>
    <t>activityIcon/common_yqtb_meishirenwu</t>
  </si>
  <si>
    <t>["banner/banner_img_msrw"]</t>
  </si>
  <si>
    <t>美食战令</t>
  </si>
  <si>
    <t>activityIcon/common_yqtb_meishizhanling</t>
  </si>
  <si>
    <t>["banner/banner_img_mszl"]</t>
  </si>
  <si>
    <t>美食商城</t>
  </si>
  <si>
    <t>activityIcon/common_yqtb_meishishangcheng</t>
  </si>
  <si>
    <t>运动会</t>
  </si>
  <si>
    <t>activityIcon/common_yqtb_yundonghui</t>
  </si>
  <si>
    <t>["banner/banner_img_yddb"]</t>
  </si>
  <si>
    <t>运动达标</t>
  </si>
  <si>
    <t>activityIcon/common_yqtb_yundongdabiao</t>
  </si>
  <si>
    <t>比赛排行</t>
  </si>
  <si>
    <t>跨服达标</t>
  </si>
  <si>
    <t>activityIcon/common_yqtb_kuafudabiao</t>
  </si>
  <si>
    <t>运动商店</t>
  </si>
  <si>
    <t>activityIcon/common_yqtb_yundongshangdian</t>
  </si>
  <si>
    <t>运动任务</t>
  </si>
  <si>
    <t>activityIcon/common_yqtb_yundongrenwu</t>
  </si>
  <si>
    <t>["banner/banner_img_ydrw"]</t>
  </si>
  <si>
    <t>运动战令</t>
  </si>
  <si>
    <t>activityIcon/common_yqtb_yundongzhanling</t>
  </si>
  <si>
    <t>["banner/banner_img_ydzl"]</t>
  </si>
  <si>
    <t>运动礼包</t>
  </si>
  <si>
    <t>activityIcon/common_yqtb_yundonglibao</t>
  </si>
  <si>
    <t>["banner/banner_img_ydlb"]</t>
  </si>
  <si>
    <t>订阅</t>
  </si>
  <si>
    <t>虚空使徒</t>
  </si>
  <si>
    <t>["banner/xkts_img_xkstbt"]</t>
  </si>
  <si>
    <t>["banner/banner_img_xktszl"]</t>
  </si>
  <si>
    <t>["banner/banner_img_xktslb"]</t>
  </si>
  <si>
    <t>烬天御神</t>
  </si>
  <si>
    <t>activityIcon/common_yqtb_xktspf1</t>
  </si>
  <si>
    <t>妖刀重樱</t>
  </si>
  <si>
    <t>activityIcon/common_yqtb_xktspf2</t>
  </si>
  <si>
    <t>联盟拼刀刀</t>
  </si>
  <si>
    <t>遗迹探宝</t>
  </si>
  <si>
    <t>activityIcon/common_yqtb_yijitanbao</t>
  </si>
  <si>
    <t>遗迹商店</t>
  </si>
  <si>
    <t>activityIcon/common_yqtb_yijishangcheng</t>
  </si>
  <si>
    <t>["activityBg/yjtb_bg_shangdian.jpg"]</t>
  </si>
  <si>
    <t>遗迹战令</t>
  </si>
  <si>
    <t>activityIcon/common_yqtb_yijizhanling</t>
  </si>
  <si>
    <t>["banner/banner_img_yjzl"]</t>
  </si>
  <si>
    <t>遗迹礼包</t>
  </si>
  <si>
    <t>activityIcon/common_yqtb_yijilibao</t>
  </si>
  <si>
    <t>["banner/banner_img_yjlb"]</t>
  </si>
  <si>
    <t>遗迹任务</t>
  </si>
  <si>
    <t>activityIcon/common_yqtb_yijirenwu</t>
  </si>
  <si>
    <t>["banner/banner_img_yjrw"]</t>
  </si>
  <si>
    <t>天使赠礼</t>
  </si>
  <si>
    <t>t_activity_entrance</t>
  </si>
  <si>
    <t>是否会收缩</t>
  </si>
  <si>
    <t>位置（1:左边，2:右边）</t>
  </si>
  <si>
    <t>优先级（越小越前）</t>
  </si>
  <si>
    <t>是否为合集活动（0：非合集，1：合集）</t>
  </si>
  <si>
    <t>是否显示高亮特效</t>
  </si>
  <si>
    <t>入口图标</t>
  </si>
  <si>
    <t>活动入口名称</t>
  </si>
  <si>
    <t>包含活动</t>
  </si>
  <si>
    <t>scale</t>
  </si>
  <si>
    <t>pos</t>
  </si>
  <si>
    <t>group</t>
  </si>
  <si>
    <t>isShowCommonEffect</t>
  </si>
  <si>
    <t>icon</t>
  </si>
  <si>
    <t>name</t>
  </si>
  <si>
    <t>activity/ui/entrance/common_icon_8rhl</t>
  </si>
  <si>
    <t>activity/ui/entrance/common_icon_7rhd</t>
  </si>
  <si>
    <t>开服狂欢</t>
  </si>
  <si>
    <t>新手试炼</t>
  </si>
  <si>
    <t>七日狂欢-每日任务、目标达成、每日特惠</t>
  </si>
  <si>
    <t>activity/ui/entrance/common_icon_sjbd</t>
  </si>
  <si>
    <t>activity/ui/entrance/common_icon_tjzm</t>
  </si>
  <si>
    <t>activity/ui/entrance/common_icon_jysl</t>
  </si>
  <si>
    <t>精英试炼</t>
  </si>
  <si>
    <t>第二期七日任务-精英试炼</t>
  </si>
  <si>
    <t>activity/ui/entrance/common_icon_clyj</t>
  </si>
  <si>
    <t>侧栏添加</t>
  </si>
  <si>
    <t>activity/ui/entrance/common_icon_sc</t>
  </si>
  <si>
    <t>activity/ui/entrance/common_icon_qpsc</t>
  </si>
  <si>
    <t>特惠商城</t>
  </si>
  <si>
    <t>商城</t>
  </si>
  <si>
    <t>每日礼包、周礼包、月礼包、充值档位、月卡、终生卡</t>
  </si>
  <si>
    <t>activity/ui/entrance/common_icon_zcm</t>
  </si>
  <si>
    <t>activity/ui/entrance/common_icon_mrth</t>
  </si>
  <si>
    <t>首充推送礼包</t>
  </si>
  <si>
    <t>累充福利</t>
  </si>
  <si>
    <t>累充宝库</t>
  </si>
  <si>
    <t>activity/ui/entrance/common_icon_xslb</t>
  </si>
  <si>
    <t>关卡、等级、爬塔等推送礼包</t>
  </si>
  <si>
    <t>累计充值</t>
  </si>
  <si>
    <t>activity/ui/entrance/common_icon_wjdc</t>
  </si>
  <si>
    <t>调查问卷</t>
  </si>
  <si>
    <t>activity/ui/entrance/common_icon_xkxz</t>
  </si>
  <si>
    <t>activity/ui/entrance/common_icon_yljs</t>
  </si>
  <si>
    <t>activity/ui/entrance/common_icon_zxsx</t>
  </si>
  <si>
    <t>activity/ui/entrance/common_icon_mrlc</t>
  </si>
  <si>
    <t>activity/ui/entrance/common_icon_kfcb</t>
  </si>
  <si>
    <t>新服豪礼</t>
  </si>
  <si>
    <t>activity/ui/entrance/common_icon_czph</t>
  </si>
  <si>
    <t>activity/ui/entrance/common_icon_thjj</t>
  </si>
  <si>
    <t>签到基金</t>
  </si>
  <si>
    <t>activity/ui/entrance/common_icon_xkpx</t>
  </si>
  <si>
    <t>activity/ui/entrance/common_icon_syzh</t>
  </si>
  <si>
    <t>activity/ui/entrance/common_icon_jtjl</t>
  </si>
  <si>
    <t>activity/ui/entrance/common_icon_ssyc</t>
  </si>
  <si>
    <t>activity/ui/entrance/common_icon_zhmz</t>
  </si>
  <si>
    <t>战魂圣殿（旧版暂时不出）</t>
  </si>
  <si>
    <t>activity/ui/entrance/common_icon_zhdr</t>
  </si>
  <si>
    <t>新服达标</t>
  </si>
  <si>
    <t>抽卡次数达标+英雄升星活动</t>
  </si>
  <si>
    <t>activity/ui/entrance/common_icon_xgzl</t>
  </si>
  <si>
    <t>activity/ui/entrance/common_icon_zhhd</t>
  </si>
  <si>
    <t>战魂秘典</t>
  </si>
  <si>
    <t>战魂活动</t>
  </si>
  <si>
    <t>activity/ui/entrance/common_icon_fzhd</t>
  </si>
  <si>
    <t>神像祈福</t>
  </si>
  <si>
    <t>符阵活动</t>
  </si>
  <si>
    <t>activity/ui/entrance/common_icon_yxhd</t>
  </si>
  <si>
    <t>欢庆元宵</t>
  </si>
  <si>
    <t>新春/元宵活动</t>
  </si>
  <si>
    <t>activity/ui/entrance/common_icon_llbd</t>
  </si>
  <si>
    <t>历练宝典</t>
  </si>
  <si>
    <t>activity/ui/entrance/common_icon_mwhd</t>
  </si>
  <si>
    <t>宝石契印</t>
  </si>
  <si>
    <t>宝石活动</t>
  </si>
  <si>
    <t>activity/ui/entrance/common_icon_gszl</t>
  </si>
  <si>
    <t>历练宝典(常驻循环）</t>
  </si>
  <si>
    <t>activity/ui/entrance/mrth_icon_mrlb</t>
  </si>
  <si>
    <t>activity/ui/entrance/common_icon_sshd</t>
  </si>
  <si>
    <t>神兽赐福</t>
  </si>
  <si>
    <t>一套的神兽活动</t>
  </si>
  <si>
    <t>activity/ui/entrance/common_icon_zl_ryzl</t>
  </si>
  <si>
    <t>荣耀战令老服的</t>
  </si>
  <si>
    <t>activity/ui/entrance/common_icon_sqlz</t>
  </si>
  <si>
    <t>神器礼赞</t>
  </si>
  <si>
    <t>神器活动</t>
  </si>
  <si>
    <t>activity/ui/entrance/common_icon_sbzl</t>
  </si>
  <si>
    <t>圣碑战令新服的</t>
  </si>
  <si>
    <t>activity/ui/entrance/common_icon_zszc</t>
  </si>
  <si>
    <t>植树节活动</t>
  </si>
  <si>
    <t>荣耀战令新服的</t>
  </si>
  <si>
    <t>圣碑战令老服的</t>
  </si>
  <si>
    <t>activity/ui/entrance/common_icon_zsdb</t>
  </si>
  <si>
    <t>钻石送礼</t>
  </si>
  <si>
    <t>钻石消耗达标</t>
  </si>
  <si>
    <t>activity/ui/entrance/common_icon_zhdb</t>
  </si>
  <si>
    <t>召唤送礼</t>
  </si>
  <si>
    <t>activity/ui/entrance/common_icon_sygd1</t>
  </si>
  <si>
    <t>深渊共斗</t>
  </si>
  <si>
    <t>组队玩法</t>
  </si>
  <si>
    <t>activity/ui/entrance/common_icon_qyzl</t>
  </si>
  <si>
    <t>祈愿之轮</t>
  </si>
  <si>
    <t>转盘活动</t>
  </si>
  <si>
    <t>activity/ui/entrance/common_icon_qydb</t>
  </si>
  <si>
    <t>转盘送礼</t>
  </si>
  <si>
    <t>activity/ui/entrance/common_icon_pfsc</t>
  </si>
  <si>
    <t>皮肤商城</t>
  </si>
  <si>
    <t>activity/ui/entrance/common_icon_lxkf</t>
  </si>
  <si>
    <t>activity/ui/entrance/common_icon_zl_zlrk</t>
  </si>
  <si>
    <t>超值战令</t>
  </si>
  <si>
    <t>战令合集</t>
  </si>
  <si>
    <t>activity/ui/entrance/common_icon_mjmb</t>
  </si>
  <si>
    <t>activity/ui/entrance/common_icon_bxzh</t>
  </si>
  <si>
    <t>activity/ui/entrance/common_icon_lyqy</t>
  </si>
  <si>
    <t>activity/ui/entrance/common_icon_rhsj</t>
  </si>
  <si>
    <t>activity/ui/entrance/common_icon_mswy</t>
  </si>
  <si>
    <t>activity/ui/entrance/common_icon_ydh</t>
  </si>
  <si>
    <t>五一运动会</t>
  </si>
  <si>
    <t>五一活动</t>
  </si>
  <si>
    <t>activity/ui/entrance/common_icon_dydy</t>
  </si>
  <si>
    <t>activity/ui/entrance/common_icon_xkts1</t>
  </si>
  <si>
    <t>虚空天使</t>
  </si>
  <si>
    <t>activity/ui/entrance/common_icon_xktspf1</t>
  </si>
  <si>
    <t>activity/ui/entrance/common_icon_xktspf2</t>
  </si>
  <si>
    <t>activity/ui/entrance/common_icon_yjtb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</si>
</sst>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2"/>
      <color theme="0"/>
      <name val="宋体"/>
      <charset val="134"/>
      <scheme val="minor"/>
    </font>
    <font>
      <sz val="11"/>
      <name val="宋体"/>
      <charset val="134"/>
      <scheme val="minor"/>
    </font>
    <font>
      <sz val="10"/>
      <name val="宋体"/>
      <charset val="134"/>
    </font>
    <font>
      <sz val="10"/>
      <color theme="1"/>
      <name val="宋体"/>
      <charset val="134"/>
    </font>
    <font>
      <sz val="10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1" tint="0.0499893185216834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7" borderId="4" applyNumberFormat="0" applyAlignment="0" applyProtection="0">
      <alignment vertical="center"/>
    </xf>
    <xf numFmtId="0" fontId="17" fillId="8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2" borderId="0" xfId="0" applyFont="1" applyFill="1" applyAlignment="1"/>
    <xf numFmtId="0" fontId="0" fillId="3" borderId="0" xfId="0" applyFill="1">
      <alignment vertical="center"/>
    </xf>
    <xf numFmtId="0" fontId="2" fillId="0" borderId="0" xfId="0" applyFont="1">
      <alignment vertical="center"/>
    </xf>
    <xf numFmtId="0" fontId="0" fillId="4" borderId="0" xfId="0" applyFill="1">
      <alignment vertical="center"/>
    </xf>
    <xf numFmtId="0" fontId="0" fillId="0" borderId="0" xfId="0" applyFo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3" borderId="0" xfId="0" applyFont="1" applyFill="1">
      <alignment vertical="center"/>
    </xf>
    <xf numFmtId="0" fontId="3" fillId="3" borderId="0" xfId="0" applyFont="1" applyFill="1">
      <alignment vertical="center"/>
    </xf>
    <xf numFmtId="0" fontId="5" fillId="3" borderId="0" xfId="0" applyFont="1" applyFill="1">
      <alignment vertical="center"/>
    </xf>
    <xf numFmtId="0" fontId="5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0" borderId="0" xfId="0" applyFont="1" applyFill="1">
      <alignment vertical="center"/>
    </xf>
    <xf numFmtId="0" fontId="5" fillId="0" borderId="0" xfId="0" applyFont="1" applyFill="1">
      <alignment vertical="center"/>
    </xf>
    <xf numFmtId="0" fontId="3" fillId="4" borderId="0" xfId="0" applyFont="1" applyFill="1">
      <alignment vertical="center"/>
    </xf>
    <xf numFmtId="0" fontId="5" fillId="4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89"/>
  <sheetViews>
    <sheetView tabSelected="1" workbookViewId="0">
      <pane ySplit="3" topLeftCell="A157" activePane="bottomLeft" state="frozen"/>
      <selection/>
      <selection pane="bottomLeft" activeCell="M189" sqref="M189"/>
    </sheetView>
  </sheetViews>
  <sheetFormatPr defaultColWidth="9" defaultRowHeight="13.5"/>
  <cols>
    <col min="1" max="1" width="18" customWidth="1"/>
    <col min="2" max="2" width="7.875" customWidth="1"/>
    <col min="3" max="3" width="21" customWidth="1"/>
    <col min="4" max="4" width="37.375" customWidth="1"/>
    <col min="5" max="5" width="28.875" customWidth="1"/>
    <col min="6" max="6" width="32.5" customWidth="1"/>
    <col min="7" max="7" width="19.25" customWidth="1"/>
    <col min="8" max="8" width="21" customWidth="1"/>
    <col min="9" max="9" width="9" style="6"/>
    <col min="11" max="11" width="19.875" customWidth="1"/>
  </cols>
  <sheetData>
    <row r="1" spans="1:12">
      <c r="A1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/>
      <c r="G1" s="7"/>
      <c r="H1" s="7" t="s">
        <v>5</v>
      </c>
      <c r="I1" s="13" t="s">
        <v>6</v>
      </c>
      <c r="J1" s="7" t="s">
        <v>7</v>
      </c>
      <c r="K1" s="7" t="s">
        <v>8</v>
      </c>
      <c r="L1" s="7" t="s">
        <v>9</v>
      </c>
    </row>
    <row r="2" spans="2:12">
      <c r="B2" s="7" t="s">
        <v>10</v>
      </c>
      <c r="C2" s="7"/>
      <c r="D2" s="7" t="s">
        <v>11</v>
      </c>
      <c r="E2" s="7" t="s">
        <v>12</v>
      </c>
      <c r="F2" s="7" t="s">
        <v>13</v>
      </c>
      <c r="G2" s="7" t="s">
        <v>14</v>
      </c>
      <c r="H2" s="7" t="s">
        <v>15</v>
      </c>
      <c r="I2" s="13" t="s">
        <v>16</v>
      </c>
      <c r="J2" s="7" t="s">
        <v>17</v>
      </c>
      <c r="K2" s="7" t="s">
        <v>18</v>
      </c>
      <c r="L2" s="7" t="s">
        <v>19</v>
      </c>
    </row>
    <row r="3" spans="1:12">
      <c r="A3" t="s">
        <v>20</v>
      </c>
      <c r="B3" s="7" t="s">
        <v>21</v>
      </c>
      <c r="C3" s="7"/>
      <c r="D3" s="7" t="s">
        <v>22</v>
      </c>
      <c r="E3" s="7" t="s">
        <v>22</v>
      </c>
      <c r="F3" s="7" t="s">
        <v>22</v>
      </c>
      <c r="G3" s="7" t="s">
        <v>22</v>
      </c>
      <c r="H3" s="7" t="s">
        <v>22</v>
      </c>
      <c r="I3" s="13" t="s">
        <v>21</v>
      </c>
      <c r="J3" s="7" t="s">
        <v>21</v>
      </c>
      <c r="K3" s="7" t="s">
        <v>22</v>
      </c>
      <c r="L3" s="7" t="s">
        <v>21</v>
      </c>
    </row>
    <row r="4" spans="1:12">
      <c r="A4" t="s">
        <v>23</v>
      </c>
      <c r="B4" s="7"/>
      <c r="C4" s="7"/>
      <c r="D4" s="7"/>
      <c r="E4" s="7"/>
      <c r="F4" s="7"/>
      <c r="G4" s="7"/>
      <c r="H4" s="7"/>
      <c r="I4" s="13"/>
      <c r="J4" s="7"/>
      <c r="K4" s="7"/>
      <c r="L4" s="7"/>
    </row>
    <row r="5" spans="2:12">
      <c r="B5" s="8">
        <v>1</v>
      </c>
      <c r="C5" s="9" t="s">
        <v>24</v>
      </c>
      <c r="D5" s="10" t="s">
        <v>25</v>
      </c>
      <c r="E5" s="11" t="s">
        <v>26</v>
      </c>
      <c r="F5" s="10" t="s">
        <v>27</v>
      </c>
      <c r="G5" s="9" t="s">
        <v>24</v>
      </c>
      <c r="H5" s="10" t="s">
        <v>28</v>
      </c>
      <c r="I5" s="14">
        <v>999</v>
      </c>
      <c r="J5" s="10">
        <v>0</v>
      </c>
      <c r="K5" s="8" t="s">
        <v>29</v>
      </c>
      <c r="L5" s="7">
        <v>1</v>
      </c>
    </row>
    <row r="6" spans="2:12">
      <c r="B6">
        <v>2</v>
      </c>
      <c r="C6" t="s">
        <v>30</v>
      </c>
      <c r="D6" s="7" t="s">
        <v>31</v>
      </c>
      <c r="E6" s="12" t="s">
        <v>26</v>
      </c>
      <c r="F6" s="7" t="s">
        <v>27</v>
      </c>
      <c r="G6" t="s">
        <v>32</v>
      </c>
      <c r="H6" s="7" t="s">
        <v>33</v>
      </c>
      <c r="I6" s="13">
        <v>2</v>
      </c>
      <c r="J6" s="7">
        <v>10</v>
      </c>
      <c r="K6" t="s">
        <v>34</v>
      </c>
      <c r="L6" s="7">
        <v>2</v>
      </c>
    </row>
    <row r="7" spans="2:12">
      <c r="B7">
        <v>3</v>
      </c>
      <c r="C7" t="s">
        <v>35</v>
      </c>
      <c r="D7" s="7" t="s">
        <v>36</v>
      </c>
      <c r="E7" s="12" t="s">
        <v>37</v>
      </c>
      <c r="F7" s="7" t="s">
        <v>27</v>
      </c>
      <c r="G7" t="s">
        <v>38</v>
      </c>
      <c r="H7" s="7" t="s">
        <v>39</v>
      </c>
      <c r="I7" s="13">
        <v>3</v>
      </c>
      <c r="J7" s="7">
        <v>27</v>
      </c>
      <c r="K7" t="s">
        <v>38</v>
      </c>
      <c r="L7" s="7">
        <v>3</v>
      </c>
    </row>
    <row r="8" spans="2:12">
      <c r="B8">
        <v>4</v>
      </c>
      <c r="C8" s="2" t="s">
        <v>40</v>
      </c>
      <c r="D8" s="10" t="s">
        <v>41</v>
      </c>
      <c r="E8" s="11" t="s">
        <v>26</v>
      </c>
      <c r="F8" s="10" t="s">
        <v>27</v>
      </c>
      <c r="G8" s="2" t="s">
        <v>40</v>
      </c>
      <c r="H8" s="10" t="s">
        <v>42</v>
      </c>
      <c r="I8" s="14">
        <v>999</v>
      </c>
      <c r="J8" s="10">
        <v>10</v>
      </c>
      <c r="K8" t="s">
        <v>43</v>
      </c>
      <c r="L8" s="7">
        <v>4</v>
      </c>
    </row>
    <row r="9" spans="2:12">
      <c r="B9">
        <v>10004</v>
      </c>
      <c r="C9" t="s">
        <v>44</v>
      </c>
      <c r="D9" s="7" t="s">
        <v>41</v>
      </c>
      <c r="E9" s="12" t="s">
        <v>45</v>
      </c>
      <c r="F9" s="7" t="s">
        <v>27</v>
      </c>
      <c r="G9" t="s">
        <v>44</v>
      </c>
      <c r="H9" s="7" t="s">
        <v>46</v>
      </c>
      <c r="I9" s="13">
        <v>5</v>
      </c>
      <c r="J9" s="7">
        <v>10</v>
      </c>
      <c r="K9" t="s">
        <v>47</v>
      </c>
      <c r="L9" s="7">
        <v>4</v>
      </c>
    </row>
    <row r="10" spans="2:12">
      <c r="B10">
        <v>20004</v>
      </c>
      <c r="C10" t="s">
        <v>48</v>
      </c>
      <c r="D10" s="7" t="s">
        <v>41</v>
      </c>
      <c r="E10" s="12" t="s">
        <v>49</v>
      </c>
      <c r="F10" s="7" t="s">
        <v>27</v>
      </c>
      <c r="G10" t="s">
        <v>48</v>
      </c>
      <c r="H10" s="7" t="s">
        <v>50</v>
      </c>
      <c r="I10" s="13">
        <v>6</v>
      </c>
      <c r="J10" s="7">
        <v>10</v>
      </c>
      <c r="K10" t="s">
        <v>51</v>
      </c>
      <c r="L10" s="7">
        <v>4</v>
      </c>
    </row>
    <row r="11" spans="2:12">
      <c r="B11">
        <v>5</v>
      </c>
      <c r="C11" t="s">
        <v>52</v>
      </c>
      <c r="D11" s="7" t="s">
        <v>25</v>
      </c>
      <c r="E11" s="12" t="s">
        <v>26</v>
      </c>
      <c r="F11" s="7" t="s">
        <v>27</v>
      </c>
      <c r="G11" t="s">
        <v>52</v>
      </c>
      <c r="H11" s="7" t="s">
        <v>53</v>
      </c>
      <c r="I11" s="13">
        <v>80</v>
      </c>
      <c r="J11" s="7">
        <v>12</v>
      </c>
      <c r="K11" t="s">
        <v>52</v>
      </c>
      <c r="L11" s="7">
        <v>5</v>
      </c>
    </row>
    <row r="12" spans="2:12">
      <c r="B12">
        <v>10005</v>
      </c>
      <c r="C12" s="2" t="s">
        <v>52</v>
      </c>
      <c r="D12" s="10" t="s">
        <v>25</v>
      </c>
      <c r="E12" s="11" t="s">
        <v>26</v>
      </c>
      <c r="F12" s="10" t="s">
        <v>27</v>
      </c>
      <c r="G12" s="2" t="s">
        <v>52</v>
      </c>
      <c r="H12" s="10" t="s">
        <v>53</v>
      </c>
      <c r="I12" s="14">
        <v>999</v>
      </c>
      <c r="J12" s="10">
        <v>12</v>
      </c>
      <c r="K12" t="s">
        <v>52</v>
      </c>
      <c r="L12" s="7">
        <v>5</v>
      </c>
    </row>
    <row r="13" spans="2:12">
      <c r="B13">
        <v>6</v>
      </c>
      <c r="C13" s="2" t="s">
        <v>54</v>
      </c>
      <c r="D13" s="10" t="s">
        <v>25</v>
      </c>
      <c r="E13" s="11" t="s">
        <v>26</v>
      </c>
      <c r="F13" s="10" t="s">
        <v>27</v>
      </c>
      <c r="G13" s="2" t="s">
        <v>54</v>
      </c>
      <c r="H13" s="10" t="s">
        <v>55</v>
      </c>
      <c r="I13" s="14">
        <v>999</v>
      </c>
      <c r="J13" s="10">
        <v>10</v>
      </c>
      <c r="K13" t="s">
        <v>54</v>
      </c>
      <c r="L13" s="7">
        <v>6</v>
      </c>
    </row>
    <row r="14" spans="2:12">
      <c r="B14">
        <v>7</v>
      </c>
      <c r="C14" t="s">
        <v>56</v>
      </c>
      <c r="D14" s="7" t="s">
        <v>57</v>
      </c>
      <c r="E14" s="12" t="s">
        <v>26</v>
      </c>
      <c r="F14" s="7" t="s">
        <v>27</v>
      </c>
      <c r="G14" t="s">
        <v>56</v>
      </c>
      <c r="H14" s="7" t="s">
        <v>58</v>
      </c>
      <c r="I14" s="13">
        <v>3</v>
      </c>
      <c r="J14" s="7">
        <v>10</v>
      </c>
      <c r="K14" t="s">
        <v>59</v>
      </c>
      <c r="L14" s="7">
        <v>7</v>
      </c>
    </row>
    <row r="15" spans="2:12">
      <c r="B15">
        <v>100007</v>
      </c>
      <c r="C15" t="s">
        <v>60</v>
      </c>
      <c r="D15" s="7" t="s">
        <v>57</v>
      </c>
      <c r="E15" s="12" t="s">
        <v>26</v>
      </c>
      <c r="F15" s="7" t="s">
        <v>27</v>
      </c>
      <c r="G15" t="s">
        <v>60</v>
      </c>
      <c r="H15" s="7" t="s">
        <v>61</v>
      </c>
      <c r="I15" s="13">
        <v>4</v>
      </c>
      <c r="J15" s="7">
        <v>10</v>
      </c>
      <c r="K15" t="s">
        <v>60</v>
      </c>
      <c r="L15" s="7">
        <v>7</v>
      </c>
    </row>
    <row r="16" spans="2:12">
      <c r="B16">
        <v>8</v>
      </c>
      <c r="C16" s="2" t="s">
        <v>62</v>
      </c>
      <c r="D16" s="10" t="s">
        <v>57</v>
      </c>
      <c r="E16" s="11" t="s">
        <v>26</v>
      </c>
      <c r="F16" s="10" t="s">
        <v>27</v>
      </c>
      <c r="G16" s="2" t="s">
        <v>62</v>
      </c>
      <c r="H16" s="10" t="s">
        <v>63</v>
      </c>
      <c r="I16" s="14">
        <v>999</v>
      </c>
      <c r="J16" s="10">
        <v>10</v>
      </c>
      <c r="K16" t="s">
        <v>62</v>
      </c>
      <c r="L16" s="7">
        <v>8</v>
      </c>
    </row>
    <row r="17" spans="2:12">
      <c r="B17">
        <v>9</v>
      </c>
      <c r="C17" t="s">
        <v>64</v>
      </c>
      <c r="D17" s="7" t="s">
        <v>25</v>
      </c>
      <c r="E17" s="12" t="s">
        <v>26</v>
      </c>
      <c r="F17" s="7" t="s">
        <v>27</v>
      </c>
      <c r="G17" t="s">
        <v>64</v>
      </c>
      <c r="H17" s="7" t="s">
        <v>65</v>
      </c>
      <c r="I17" s="13">
        <v>1</v>
      </c>
      <c r="J17" s="7">
        <v>9</v>
      </c>
      <c r="K17" t="s">
        <v>64</v>
      </c>
      <c r="L17" s="7">
        <v>9</v>
      </c>
    </row>
    <row r="18" spans="2:12">
      <c r="B18">
        <v>10</v>
      </c>
      <c r="C18" t="s">
        <v>66</v>
      </c>
      <c r="D18" s="7" t="s">
        <v>25</v>
      </c>
      <c r="E18" s="12" t="s">
        <v>26</v>
      </c>
      <c r="F18" s="7" t="s">
        <v>27</v>
      </c>
      <c r="G18" t="s">
        <v>67</v>
      </c>
      <c r="H18" s="7" t="s">
        <v>68</v>
      </c>
      <c r="I18" s="13">
        <v>30</v>
      </c>
      <c r="J18" s="7">
        <v>15</v>
      </c>
      <c r="K18" t="s">
        <v>67</v>
      </c>
      <c r="L18" s="7">
        <v>10</v>
      </c>
    </row>
    <row r="19" spans="2:12">
      <c r="B19">
        <v>13</v>
      </c>
      <c r="C19" s="2" t="s">
        <v>69</v>
      </c>
      <c r="D19" s="10" t="s">
        <v>70</v>
      </c>
      <c r="E19" s="11" t="s">
        <v>26</v>
      </c>
      <c r="F19" s="10" t="s">
        <v>27</v>
      </c>
      <c r="G19" s="2" t="s">
        <v>69</v>
      </c>
      <c r="H19" s="10" t="s">
        <v>71</v>
      </c>
      <c r="I19" s="14">
        <v>999</v>
      </c>
      <c r="J19" s="10">
        <v>3</v>
      </c>
      <c r="K19" t="s">
        <v>72</v>
      </c>
      <c r="L19" s="7">
        <v>13</v>
      </c>
    </row>
    <row r="20" spans="2:12">
      <c r="B20">
        <v>10013</v>
      </c>
      <c r="C20" s="2" t="s">
        <v>73</v>
      </c>
      <c r="D20" s="10" t="s">
        <v>74</v>
      </c>
      <c r="E20" s="11" t="s">
        <v>26</v>
      </c>
      <c r="F20" s="10" t="s">
        <v>27</v>
      </c>
      <c r="G20" s="2" t="s">
        <v>73</v>
      </c>
      <c r="H20" s="10" t="s">
        <v>75</v>
      </c>
      <c r="I20" s="14">
        <v>999</v>
      </c>
      <c r="J20" s="10">
        <v>3</v>
      </c>
      <c r="K20" t="s">
        <v>76</v>
      </c>
      <c r="L20" s="7">
        <v>13</v>
      </c>
    </row>
    <row r="21" spans="2:12">
      <c r="B21">
        <v>14</v>
      </c>
      <c r="C21" s="2" t="s">
        <v>77</v>
      </c>
      <c r="D21" s="10" t="s">
        <v>41</v>
      </c>
      <c r="E21" s="11" t="s">
        <v>26</v>
      </c>
      <c r="F21" s="10" t="s">
        <v>27</v>
      </c>
      <c r="G21" s="2" t="s">
        <v>77</v>
      </c>
      <c r="H21" s="10" t="s">
        <v>78</v>
      </c>
      <c r="I21" s="14">
        <v>999</v>
      </c>
      <c r="J21" s="10">
        <v>3</v>
      </c>
      <c r="K21" t="s">
        <v>79</v>
      </c>
      <c r="L21" s="7">
        <v>14</v>
      </c>
    </row>
    <row r="22" spans="2:12">
      <c r="B22">
        <v>10014</v>
      </c>
      <c r="C22" s="2" t="s">
        <v>80</v>
      </c>
      <c r="D22" s="10" t="s">
        <v>41</v>
      </c>
      <c r="E22" s="11" t="s">
        <v>26</v>
      </c>
      <c r="F22" s="10" t="s">
        <v>27</v>
      </c>
      <c r="G22" s="2" t="s">
        <v>80</v>
      </c>
      <c r="H22" s="10" t="s">
        <v>78</v>
      </c>
      <c r="I22" s="14">
        <v>999</v>
      </c>
      <c r="J22" s="10">
        <v>3</v>
      </c>
      <c r="K22" t="s">
        <v>81</v>
      </c>
      <c r="L22" s="7">
        <v>14</v>
      </c>
    </row>
    <row r="23" spans="2:12">
      <c r="B23">
        <v>16</v>
      </c>
      <c r="C23" s="2" t="s">
        <v>82</v>
      </c>
      <c r="D23" s="10" t="s">
        <v>25</v>
      </c>
      <c r="E23" s="11" t="s">
        <v>26</v>
      </c>
      <c r="F23" s="10" t="s">
        <v>27</v>
      </c>
      <c r="G23" s="2" t="s">
        <v>82</v>
      </c>
      <c r="H23" s="10" t="s">
        <v>83</v>
      </c>
      <c r="I23" s="14">
        <v>999</v>
      </c>
      <c r="J23" s="10">
        <v>18</v>
      </c>
      <c r="K23" t="s">
        <v>82</v>
      </c>
      <c r="L23" s="7">
        <v>16</v>
      </c>
    </row>
    <row r="24" spans="2:12">
      <c r="B24">
        <v>22</v>
      </c>
      <c r="C24" s="2" t="s">
        <v>84</v>
      </c>
      <c r="D24" s="10" t="s">
        <v>25</v>
      </c>
      <c r="E24" s="11" t="s">
        <v>26</v>
      </c>
      <c r="F24" s="10" t="s">
        <v>27</v>
      </c>
      <c r="G24" s="2" t="s">
        <v>84</v>
      </c>
      <c r="H24" s="10" t="s">
        <v>85</v>
      </c>
      <c r="I24" s="14">
        <v>50</v>
      </c>
      <c r="J24" s="10">
        <v>15</v>
      </c>
      <c r="K24" t="s">
        <v>84</v>
      </c>
      <c r="L24" s="7">
        <v>22</v>
      </c>
    </row>
    <row r="25" spans="2:12">
      <c r="B25">
        <v>10010</v>
      </c>
      <c r="C25" s="2" t="s">
        <v>86</v>
      </c>
      <c r="D25" s="10" t="s">
        <v>25</v>
      </c>
      <c r="E25" s="11" t="s">
        <v>26</v>
      </c>
      <c r="F25" s="10" t="s">
        <v>27</v>
      </c>
      <c r="G25" s="2" t="s">
        <v>86</v>
      </c>
      <c r="H25" s="10" t="s">
        <v>87</v>
      </c>
      <c r="I25" s="14">
        <v>30</v>
      </c>
      <c r="J25" s="10">
        <v>15</v>
      </c>
      <c r="K25" t="s">
        <v>86</v>
      </c>
      <c r="L25" s="7">
        <v>10</v>
      </c>
    </row>
    <row r="26" spans="2:12">
      <c r="B26">
        <v>20010</v>
      </c>
      <c r="C26" s="2" t="s">
        <v>88</v>
      </c>
      <c r="D26" s="10" t="s">
        <v>25</v>
      </c>
      <c r="E26" s="11" t="s">
        <v>26</v>
      </c>
      <c r="F26" s="10" t="s">
        <v>27</v>
      </c>
      <c r="G26" s="2" t="s">
        <v>88</v>
      </c>
      <c r="H26" s="10" t="s">
        <v>89</v>
      </c>
      <c r="I26" s="14">
        <v>40</v>
      </c>
      <c r="J26" s="10">
        <v>15</v>
      </c>
      <c r="K26" t="s">
        <v>88</v>
      </c>
      <c r="L26" s="7">
        <v>10</v>
      </c>
    </row>
    <row r="27" spans="2:12">
      <c r="B27">
        <v>11</v>
      </c>
      <c r="C27" s="2" t="s">
        <v>90</v>
      </c>
      <c r="D27" s="10" t="s">
        <v>25</v>
      </c>
      <c r="E27" s="11" t="s">
        <v>26</v>
      </c>
      <c r="F27" s="10" t="s">
        <v>27</v>
      </c>
      <c r="G27" s="2" t="s">
        <v>90</v>
      </c>
      <c r="H27" s="10" t="s">
        <v>91</v>
      </c>
      <c r="I27" s="14">
        <v>10</v>
      </c>
      <c r="J27" s="2">
        <v>8</v>
      </c>
      <c r="K27" t="s">
        <v>90</v>
      </c>
      <c r="L27" s="7">
        <v>11</v>
      </c>
    </row>
    <row r="28" spans="2:12">
      <c r="B28">
        <v>10011</v>
      </c>
      <c r="C28" s="2" t="s">
        <v>92</v>
      </c>
      <c r="D28" s="10" t="s">
        <v>25</v>
      </c>
      <c r="E28" s="11" t="s">
        <v>26</v>
      </c>
      <c r="F28" s="10" t="s">
        <v>27</v>
      </c>
      <c r="G28" s="2" t="s">
        <v>92</v>
      </c>
      <c r="H28" s="10" t="s">
        <v>93</v>
      </c>
      <c r="I28" s="14">
        <v>20</v>
      </c>
      <c r="J28" s="2">
        <v>0</v>
      </c>
      <c r="K28" t="s">
        <v>92</v>
      </c>
      <c r="L28" s="7">
        <v>11</v>
      </c>
    </row>
    <row r="29" spans="2:12">
      <c r="B29">
        <v>20011</v>
      </c>
      <c r="C29" s="2" t="s">
        <v>94</v>
      </c>
      <c r="D29" s="10" t="s">
        <v>25</v>
      </c>
      <c r="E29" s="11" t="s">
        <v>26</v>
      </c>
      <c r="F29" s="10" t="s">
        <v>27</v>
      </c>
      <c r="G29" s="2" t="s">
        <v>94</v>
      </c>
      <c r="H29" s="10" t="s">
        <v>95</v>
      </c>
      <c r="I29" s="14">
        <v>999</v>
      </c>
      <c r="J29" s="2">
        <v>7</v>
      </c>
      <c r="K29" t="s">
        <v>96</v>
      </c>
      <c r="L29" s="7">
        <v>11</v>
      </c>
    </row>
    <row r="30" spans="2:12">
      <c r="B30">
        <v>30011</v>
      </c>
      <c r="C30" s="2" t="s">
        <v>97</v>
      </c>
      <c r="D30" s="10" t="s">
        <v>25</v>
      </c>
      <c r="E30" s="11" t="s">
        <v>26</v>
      </c>
      <c r="F30" s="10" t="s">
        <v>27</v>
      </c>
      <c r="G30" s="2" t="s">
        <v>97</v>
      </c>
      <c r="H30" s="10" t="s">
        <v>98</v>
      </c>
      <c r="I30" s="14">
        <v>10</v>
      </c>
      <c r="J30" s="2">
        <v>16</v>
      </c>
      <c r="K30" t="s">
        <v>97</v>
      </c>
      <c r="L30" s="7">
        <v>11</v>
      </c>
    </row>
    <row r="31" spans="2:12">
      <c r="B31">
        <v>40011</v>
      </c>
      <c r="C31" t="s">
        <v>99</v>
      </c>
      <c r="D31" s="7" t="s">
        <v>25</v>
      </c>
      <c r="E31" s="12" t="s">
        <v>26</v>
      </c>
      <c r="F31" s="7" t="s">
        <v>27</v>
      </c>
      <c r="G31" t="s">
        <v>100</v>
      </c>
      <c r="H31" s="7" t="s">
        <v>101</v>
      </c>
      <c r="I31" s="13">
        <v>10</v>
      </c>
      <c r="J31">
        <v>17</v>
      </c>
      <c r="K31" t="s">
        <v>100</v>
      </c>
      <c r="L31" s="7">
        <v>11</v>
      </c>
    </row>
    <row r="32" spans="2:12">
      <c r="B32">
        <v>20111</v>
      </c>
      <c r="C32" s="2" t="s">
        <v>102</v>
      </c>
      <c r="D32" s="10" t="s">
        <v>25</v>
      </c>
      <c r="E32" s="11" t="s">
        <v>26</v>
      </c>
      <c r="F32" s="10" t="s">
        <v>27</v>
      </c>
      <c r="G32" s="2" t="s">
        <v>102</v>
      </c>
      <c r="H32" s="10" t="s">
        <v>95</v>
      </c>
      <c r="I32" s="14">
        <v>999</v>
      </c>
      <c r="J32" s="2">
        <v>7</v>
      </c>
      <c r="K32" t="s">
        <v>96</v>
      </c>
      <c r="L32" s="7">
        <v>11</v>
      </c>
    </row>
    <row r="33" spans="2:12">
      <c r="B33">
        <v>20</v>
      </c>
      <c r="C33" t="s">
        <v>103</v>
      </c>
      <c r="D33" s="7" t="s">
        <v>104</v>
      </c>
      <c r="E33" s="12" t="s">
        <v>26</v>
      </c>
      <c r="F33" s="7" t="s">
        <v>27</v>
      </c>
      <c r="G33" t="s">
        <v>103</v>
      </c>
      <c r="H33" s="7" t="s">
        <v>105</v>
      </c>
      <c r="I33" s="13">
        <v>7</v>
      </c>
      <c r="J33">
        <v>10</v>
      </c>
      <c r="K33" t="s">
        <v>103</v>
      </c>
      <c r="L33" s="7">
        <v>20</v>
      </c>
    </row>
    <row r="34" spans="2:12">
      <c r="B34">
        <v>21</v>
      </c>
      <c r="C34" t="s">
        <v>106</v>
      </c>
      <c r="D34" s="7" t="s">
        <v>25</v>
      </c>
      <c r="E34" s="12" t="s">
        <v>26</v>
      </c>
      <c r="F34" s="7" t="s">
        <v>27</v>
      </c>
      <c r="G34" t="s">
        <v>107</v>
      </c>
      <c r="H34" s="7" t="s">
        <v>108</v>
      </c>
      <c r="I34" s="13">
        <v>10</v>
      </c>
      <c r="J34">
        <v>1</v>
      </c>
      <c r="K34" t="s">
        <v>109</v>
      </c>
      <c r="L34" s="7">
        <v>21</v>
      </c>
    </row>
    <row r="35" spans="2:12">
      <c r="B35">
        <v>23</v>
      </c>
      <c r="C35" s="2" t="s">
        <v>110</v>
      </c>
      <c r="D35" s="10" t="s">
        <v>111</v>
      </c>
      <c r="E35" s="11" t="s">
        <v>26</v>
      </c>
      <c r="F35" s="10" t="s">
        <v>27</v>
      </c>
      <c r="G35" s="2" t="s">
        <v>110</v>
      </c>
      <c r="H35" s="10" t="s">
        <v>112</v>
      </c>
      <c r="I35" s="14">
        <v>999</v>
      </c>
      <c r="J35" s="2">
        <v>11</v>
      </c>
      <c r="K35" t="s">
        <v>113</v>
      </c>
      <c r="L35" s="7">
        <v>23</v>
      </c>
    </row>
    <row r="36" spans="2:12">
      <c r="B36">
        <v>25</v>
      </c>
      <c r="C36" t="s">
        <v>114</v>
      </c>
      <c r="D36" s="7" t="s">
        <v>25</v>
      </c>
      <c r="E36" s="12" t="s">
        <v>26</v>
      </c>
      <c r="F36" s="7" t="s">
        <v>27</v>
      </c>
      <c r="G36" t="s">
        <v>114</v>
      </c>
      <c r="H36" s="7" t="s">
        <v>115</v>
      </c>
      <c r="I36" s="13">
        <v>998</v>
      </c>
      <c r="J36">
        <v>5</v>
      </c>
      <c r="K36" t="s">
        <v>116</v>
      </c>
      <c r="L36" s="7">
        <v>25</v>
      </c>
    </row>
    <row r="37" spans="2:12">
      <c r="B37">
        <v>27</v>
      </c>
      <c r="C37" s="2" t="s">
        <v>117</v>
      </c>
      <c r="D37" s="10" t="s">
        <v>25</v>
      </c>
      <c r="E37" s="11" t="s">
        <v>26</v>
      </c>
      <c r="F37" s="10" t="s">
        <v>27</v>
      </c>
      <c r="G37" s="2" t="s">
        <v>117</v>
      </c>
      <c r="H37" s="10" t="s">
        <v>118</v>
      </c>
      <c r="I37" s="14">
        <v>10</v>
      </c>
      <c r="J37" s="2">
        <v>5</v>
      </c>
      <c r="K37" t="s">
        <v>117</v>
      </c>
      <c r="L37" s="7">
        <v>27</v>
      </c>
    </row>
    <row r="38" spans="2:12">
      <c r="B38">
        <v>28</v>
      </c>
      <c r="C38" s="2" t="s">
        <v>119</v>
      </c>
      <c r="D38" s="10" t="s">
        <v>25</v>
      </c>
      <c r="E38" s="11" t="s">
        <v>26</v>
      </c>
      <c r="F38" s="10" t="s">
        <v>27</v>
      </c>
      <c r="G38" s="2" t="s">
        <v>119</v>
      </c>
      <c r="H38" s="10" t="s">
        <v>120</v>
      </c>
      <c r="I38" s="14">
        <v>999</v>
      </c>
      <c r="J38" s="2">
        <v>20</v>
      </c>
      <c r="K38" t="s">
        <v>119</v>
      </c>
      <c r="L38" s="7">
        <v>28</v>
      </c>
    </row>
    <row r="39" spans="2:12">
      <c r="B39">
        <v>29</v>
      </c>
      <c r="C39" t="s">
        <v>121</v>
      </c>
      <c r="D39" s="7" t="s">
        <v>122</v>
      </c>
      <c r="E39" s="12" t="s">
        <v>26</v>
      </c>
      <c r="F39" s="7" t="s">
        <v>27</v>
      </c>
      <c r="G39" t="s">
        <v>123</v>
      </c>
      <c r="H39" s="7" t="s">
        <v>124</v>
      </c>
      <c r="I39" s="13">
        <v>10</v>
      </c>
      <c r="J39">
        <v>2</v>
      </c>
      <c r="K39" t="s">
        <v>123</v>
      </c>
      <c r="L39" s="7">
        <v>29</v>
      </c>
    </row>
    <row r="40" spans="2:12">
      <c r="B40">
        <v>10029</v>
      </c>
      <c r="C40" t="s">
        <v>125</v>
      </c>
      <c r="D40" s="7" t="s">
        <v>126</v>
      </c>
      <c r="E40" s="12" t="s">
        <v>26</v>
      </c>
      <c r="F40" s="7" t="s">
        <v>27</v>
      </c>
      <c r="G40" t="s">
        <v>127</v>
      </c>
      <c r="H40" s="7" t="s">
        <v>128</v>
      </c>
      <c r="I40" s="13">
        <v>11</v>
      </c>
      <c r="J40">
        <v>2</v>
      </c>
      <c r="K40" t="s">
        <v>127</v>
      </c>
      <c r="L40" s="7">
        <v>29</v>
      </c>
    </row>
    <row r="41" spans="2:12">
      <c r="B41">
        <v>31</v>
      </c>
      <c r="C41" t="s">
        <v>129</v>
      </c>
      <c r="D41" s="7" t="s">
        <v>130</v>
      </c>
      <c r="E41" s="12" t="s">
        <v>26</v>
      </c>
      <c r="F41" s="7" t="s">
        <v>27</v>
      </c>
      <c r="G41" t="s">
        <v>131</v>
      </c>
      <c r="H41" s="7" t="s">
        <v>132</v>
      </c>
      <c r="I41" s="13">
        <v>13</v>
      </c>
      <c r="J41">
        <v>2</v>
      </c>
      <c r="K41" t="s">
        <v>131</v>
      </c>
      <c r="L41" s="7">
        <v>31</v>
      </c>
    </row>
    <row r="42" spans="2:12">
      <c r="B42">
        <v>20029</v>
      </c>
      <c r="C42" t="s">
        <v>133</v>
      </c>
      <c r="D42" s="7" t="s">
        <v>122</v>
      </c>
      <c r="E42" s="12" t="s">
        <v>26</v>
      </c>
      <c r="F42" s="7" t="s">
        <v>27</v>
      </c>
      <c r="G42" t="s">
        <v>123</v>
      </c>
      <c r="H42" s="7" t="s">
        <v>124</v>
      </c>
      <c r="I42" s="13">
        <v>10</v>
      </c>
      <c r="J42">
        <v>6</v>
      </c>
      <c r="K42" t="s">
        <v>123</v>
      </c>
      <c r="L42" s="7">
        <v>29</v>
      </c>
    </row>
    <row r="43" spans="2:12">
      <c r="B43">
        <v>30029</v>
      </c>
      <c r="C43" t="s">
        <v>134</v>
      </c>
      <c r="D43" s="7" t="s">
        <v>126</v>
      </c>
      <c r="E43" s="12" t="s">
        <v>26</v>
      </c>
      <c r="F43" s="7" t="s">
        <v>27</v>
      </c>
      <c r="G43" t="s">
        <v>127</v>
      </c>
      <c r="H43" s="7" t="s">
        <v>128</v>
      </c>
      <c r="I43" s="13">
        <v>11</v>
      </c>
      <c r="J43">
        <v>6</v>
      </c>
      <c r="K43" t="s">
        <v>123</v>
      </c>
      <c r="L43" s="7">
        <v>29</v>
      </c>
    </row>
    <row r="44" spans="2:12">
      <c r="B44">
        <v>10031</v>
      </c>
      <c r="C44" t="s">
        <v>135</v>
      </c>
      <c r="D44" s="7" t="s">
        <v>130</v>
      </c>
      <c r="E44" s="12" t="s">
        <v>26</v>
      </c>
      <c r="F44" s="7" t="s">
        <v>27</v>
      </c>
      <c r="G44" t="s">
        <v>131</v>
      </c>
      <c r="H44" s="7" t="s">
        <v>132</v>
      </c>
      <c r="I44" s="13">
        <v>13</v>
      </c>
      <c r="J44">
        <v>6</v>
      </c>
      <c r="K44" t="s">
        <v>131</v>
      </c>
      <c r="L44" s="7">
        <v>31</v>
      </c>
    </row>
    <row r="45" spans="2:12">
      <c r="B45">
        <v>34</v>
      </c>
      <c r="C45" s="2" t="s">
        <v>136</v>
      </c>
      <c r="D45" s="10" t="s">
        <v>130</v>
      </c>
      <c r="E45" s="11" t="s">
        <v>26</v>
      </c>
      <c r="F45" s="10" t="s">
        <v>27</v>
      </c>
      <c r="G45" s="2" t="str">
        <f>C45</f>
        <v>招财猫</v>
      </c>
      <c r="H45" s="10" t="s">
        <v>137</v>
      </c>
      <c r="I45" s="14">
        <v>999</v>
      </c>
      <c r="J45" s="2">
        <v>21</v>
      </c>
      <c r="K45" t="s">
        <v>136</v>
      </c>
      <c r="L45" s="7">
        <v>34</v>
      </c>
    </row>
    <row r="46" spans="2:12">
      <c r="B46">
        <v>35</v>
      </c>
      <c r="C46" s="2" t="s">
        <v>138</v>
      </c>
      <c r="D46" s="10" t="s">
        <v>25</v>
      </c>
      <c r="E46" s="11" t="s">
        <v>26</v>
      </c>
      <c r="F46" s="10" t="s">
        <v>27</v>
      </c>
      <c r="G46" s="2" t="s">
        <v>138</v>
      </c>
      <c r="H46" s="10" t="s">
        <v>139</v>
      </c>
      <c r="I46" s="14">
        <v>999</v>
      </c>
      <c r="J46" s="10">
        <v>13</v>
      </c>
      <c r="K46" t="s">
        <v>138</v>
      </c>
      <c r="L46" s="7">
        <v>35</v>
      </c>
    </row>
    <row r="47" spans="2:12">
      <c r="B47">
        <v>37</v>
      </c>
      <c r="C47" t="s">
        <v>140</v>
      </c>
      <c r="D47" s="7" t="s">
        <v>25</v>
      </c>
      <c r="E47" s="7" t="s">
        <v>26</v>
      </c>
      <c r="F47" s="7" t="s">
        <v>27</v>
      </c>
      <c r="G47" t="s">
        <v>140</v>
      </c>
      <c r="H47" s="7" t="s">
        <v>141</v>
      </c>
      <c r="I47" s="13">
        <v>10</v>
      </c>
      <c r="J47">
        <v>22</v>
      </c>
      <c r="K47" t="s">
        <v>140</v>
      </c>
      <c r="L47" s="7">
        <v>37</v>
      </c>
    </row>
    <row r="48" spans="2:12">
      <c r="B48">
        <v>100037</v>
      </c>
      <c r="C48" t="s">
        <v>142</v>
      </c>
      <c r="D48" s="7" t="s">
        <v>25</v>
      </c>
      <c r="E48" s="7" t="s">
        <v>26</v>
      </c>
      <c r="F48" s="7" t="s">
        <v>27</v>
      </c>
      <c r="G48" t="s">
        <v>142</v>
      </c>
      <c r="H48" s="7" t="s">
        <v>143</v>
      </c>
      <c r="I48" s="13">
        <v>10</v>
      </c>
      <c r="J48">
        <v>29</v>
      </c>
      <c r="K48" t="s">
        <v>142</v>
      </c>
      <c r="L48" s="7">
        <v>37</v>
      </c>
    </row>
    <row r="49" spans="2:12">
      <c r="B49">
        <v>110037</v>
      </c>
      <c r="C49" t="s">
        <v>144</v>
      </c>
      <c r="D49" s="7" t="s">
        <v>25</v>
      </c>
      <c r="E49" s="7" t="s">
        <v>26</v>
      </c>
      <c r="F49" s="7" t="s">
        <v>27</v>
      </c>
      <c r="G49" t="s">
        <v>144</v>
      </c>
      <c r="H49" s="7" t="s">
        <v>145</v>
      </c>
      <c r="I49" s="13">
        <v>10</v>
      </c>
      <c r="J49">
        <v>31</v>
      </c>
      <c r="K49" t="s">
        <v>144</v>
      </c>
      <c r="L49" s="7">
        <v>37</v>
      </c>
    </row>
    <row r="50" spans="2:12">
      <c r="B50">
        <v>120037</v>
      </c>
      <c r="C50" t="s">
        <v>146</v>
      </c>
      <c r="D50" s="7" t="s">
        <v>25</v>
      </c>
      <c r="E50" s="7" t="s">
        <v>26</v>
      </c>
      <c r="F50" s="7" t="s">
        <v>27</v>
      </c>
      <c r="G50" t="s">
        <v>146</v>
      </c>
      <c r="H50" s="7" t="s">
        <v>147</v>
      </c>
      <c r="I50" s="13">
        <v>10</v>
      </c>
      <c r="J50">
        <v>62</v>
      </c>
      <c r="K50" t="s">
        <v>146</v>
      </c>
      <c r="L50" s="7">
        <v>37</v>
      </c>
    </row>
    <row r="51" spans="2:13">
      <c r="B51">
        <v>38</v>
      </c>
      <c r="C51" t="s">
        <v>148</v>
      </c>
      <c r="D51" s="7" t="s">
        <v>149</v>
      </c>
      <c r="E51" s="12" t="s">
        <v>150</v>
      </c>
      <c r="F51" s="7" t="s">
        <v>27</v>
      </c>
      <c r="G51" t="s">
        <v>148</v>
      </c>
      <c r="H51" s="7" t="str">
        <f>"["&amp;$M$51&amp;G51&amp;$M$51&amp;"]"</f>
        <v>["自选升星"]</v>
      </c>
      <c r="I51" s="13">
        <v>15</v>
      </c>
      <c r="J51">
        <v>23</v>
      </c>
      <c r="K51" t="str">
        <f>G51</f>
        <v>自选升星</v>
      </c>
      <c r="L51" s="7">
        <v>38</v>
      </c>
      <c r="M51" t="s">
        <v>151</v>
      </c>
    </row>
    <row r="52" spans="2:12">
      <c r="B52">
        <v>39</v>
      </c>
      <c r="C52" t="s">
        <v>152</v>
      </c>
      <c r="D52" s="7" t="s">
        <v>25</v>
      </c>
      <c r="E52" s="7" t="s">
        <v>26</v>
      </c>
      <c r="F52" s="7" t="s">
        <v>27</v>
      </c>
      <c r="G52" t="s">
        <v>152</v>
      </c>
      <c r="H52" s="7" t="str">
        <f t="shared" ref="H52:H109" si="0">"["&amp;$M$51&amp;G52&amp;$M$51&amp;"]"</f>
        <v>["每日累充"]</v>
      </c>
      <c r="I52" s="13">
        <v>16</v>
      </c>
      <c r="J52">
        <v>24</v>
      </c>
      <c r="K52" t="str">
        <f t="shared" ref="K52:K109" si="1">G52</f>
        <v>每日累充</v>
      </c>
      <c r="L52" s="7">
        <v>39</v>
      </c>
    </row>
    <row r="53" spans="2:12">
      <c r="B53">
        <v>20013</v>
      </c>
      <c r="C53" t="s">
        <v>153</v>
      </c>
      <c r="D53" s="7" t="s">
        <v>154</v>
      </c>
      <c r="E53" s="12" t="s">
        <v>155</v>
      </c>
      <c r="F53" s="7" t="s">
        <v>27</v>
      </c>
      <c r="G53" t="s">
        <v>153</v>
      </c>
      <c r="H53" s="7" t="str">
        <f t="shared" si="0"/>
        <v>["冲刺升级"]</v>
      </c>
      <c r="I53" s="13">
        <v>1</v>
      </c>
      <c r="J53" s="7">
        <v>25</v>
      </c>
      <c r="K53" t="str">
        <f t="shared" si="1"/>
        <v>冲刺升级</v>
      </c>
      <c r="L53" s="7">
        <v>13</v>
      </c>
    </row>
    <row r="54" spans="2:12">
      <c r="B54">
        <v>20014</v>
      </c>
      <c r="C54" t="s">
        <v>156</v>
      </c>
      <c r="D54" s="7" t="s">
        <v>157</v>
      </c>
      <c r="E54" s="12" t="s">
        <v>158</v>
      </c>
      <c r="F54" s="7" t="s">
        <v>27</v>
      </c>
      <c r="G54" t="s">
        <v>156</v>
      </c>
      <c r="H54" s="7" t="str">
        <f t="shared" si="0"/>
        <v>["新服特惠"]</v>
      </c>
      <c r="I54" s="13">
        <v>2</v>
      </c>
      <c r="J54" s="7">
        <v>25</v>
      </c>
      <c r="K54" t="str">
        <f t="shared" si="1"/>
        <v>新服特惠</v>
      </c>
      <c r="L54" s="7">
        <v>14</v>
      </c>
    </row>
    <row r="55" spans="2:12">
      <c r="B55">
        <v>40</v>
      </c>
      <c r="C55" t="s">
        <v>159</v>
      </c>
      <c r="D55" s="7" t="s">
        <v>160</v>
      </c>
      <c r="E55" s="12" t="s">
        <v>26</v>
      </c>
      <c r="F55" s="7" t="s">
        <v>161</v>
      </c>
      <c r="G55" t="s">
        <v>159</v>
      </c>
      <c r="H55" s="7" t="str">
        <f t="shared" si="0"/>
        <v>["充值排行榜"]</v>
      </c>
      <c r="I55" s="13">
        <v>1</v>
      </c>
      <c r="J55" s="7">
        <v>26</v>
      </c>
      <c r="K55" t="str">
        <f t="shared" si="1"/>
        <v>充值排行榜</v>
      </c>
      <c r="L55" s="7">
        <v>40</v>
      </c>
    </row>
    <row r="56" spans="2:12">
      <c r="B56">
        <v>41</v>
      </c>
      <c r="C56" t="s">
        <v>162</v>
      </c>
      <c r="D56" s="7" t="s">
        <v>163</v>
      </c>
      <c r="E56" s="12" t="s">
        <v>164</v>
      </c>
      <c r="F56" s="7" t="s">
        <v>27</v>
      </c>
      <c r="G56" t="s">
        <v>162</v>
      </c>
      <c r="H56" s="7" t="str">
        <f t="shared" si="0"/>
        <v>["特权礼包"]</v>
      </c>
      <c r="I56" s="13">
        <v>1</v>
      </c>
      <c r="J56" s="7">
        <v>10</v>
      </c>
      <c r="K56" t="str">
        <f t="shared" si="1"/>
        <v>特权礼包</v>
      </c>
      <c r="L56" s="7">
        <v>41</v>
      </c>
    </row>
    <row r="57" spans="2:12">
      <c r="B57">
        <v>42</v>
      </c>
      <c r="C57" t="s">
        <v>165</v>
      </c>
      <c r="D57" s="7" t="s">
        <v>166</v>
      </c>
      <c r="E57" s="12" t="s">
        <v>167</v>
      </c>
      <c r="F57" s="7" t="s">
        <v>27</v>
      </c>
      <c r="G57" t="s">
        <v>165</v>
      </c>
      <c r="H57" s="7" t="str">
        <f t="shared" si="0"/>
        <v>["超值基金"]</v>
      </c>
      <c r="I57" s="13">
        <v>1</v>
      </c>
      <c r="J57" s="7">
        <v>27</v>
      </c>
      <c r="K57" t="str">
        <f t="shared" si="1"/>
        <v>超值基金</v>
      </c>
      <c r="L57" s="7">
        <v>42</v>
      </c>
    </row>
    <row r="58" spans="2:12">
      <c r="B58">
        <v>43</v>
      </c>
      <c r="C58" t="s">
        <v>168</v>
      </c>
      <c r="D58" s="7" t="s">
        <v>169</v>
      </c>
      <c r="E58" s="12" t="s">
        <v>170</v>
      </c>
      <c r="F58" s="7" t="s">
        <v>27</v>
      </c>
      <c r="G58" t="s">
        <v>168</v>
      </c>
      <c r="H58" s="7" t="str">
        <f t="shared" si="0"/>
        <v>["至尊基金"]</v>
      </c>
      <c r="I58" s="13">
        <v>2</v>
      </c>
      <c r="J58" s="7">
        <v>27</v>
      </c>
      <c r="K58" t="str">
        <f t="shared" si="1"/>
        <v>至尊基金</v>
      </c>
      <c r="L58" s="7">
        <v>43</v>
      </c>
    </row>
    <row r="59" spans="2:12">
      <c r="B59">
        <v>44</v>
      </c>
      <c r="C59" t="s">
        <v>171</v>
      </c>
      <c r="D59" s="7" t="s">
        <v>172</v>
      </c>
      <c r="E59" s="12" t="s">
        <v>173</v>
      </c>
      <c r="F59" s="7" t="s">
        <v>27</v>
      </c>
      <c r="G59" t="s">
        <v>171</v>
      </c>
      <c r="H59" s="7" t="str">
        <f t="shared" si="0"/>
        <v>["每日宝库"]</v>
      </c>
      <c r="I59" s="13">
        <v>1</v>
      </c>
      <c r="J59" s="7">
        <v>11</v>
      </c>
      <c r="K59" t="str">
        <f t="shared" si="1"/>
        <v>每日宝库</v>
      </c>
      <c r="L59" s="7">
        <v>44</v>
      </c>
    </row>
    <row r="60" spans="2:12">
      <c r="B60">
        <v>46</v>
      </c>
      <c r="C60" t="s">
        <v>67</v>
      </c>
      <c r="D60" s="7" t="s">
        <v>25</v>
      </c>
      <c r="E60" s="12" t="s">
        <v>26</v>
      </c>
      <c r="F60" s="7" t="s">
        <v>27</v>
      </c>
      <c r="G60" t="s">
        <v>67</v>
      </c>
      <c r="H60" s="7" t="str">
        <f t="shared" si="0"/>
        <v>["限时礼包"]</v>
      </c>
      <c r="I60" s="13">
        <v>40</v>
      </c>
      <c r="J60" s="7">
        <v>15</v>
      </c>
      <c r="K60" t="str">
        <f t="shared" si="1"/>
        <v>限时礼包</v>
      </c>
      <c r="L60" s="7">
        <v>10</v>
      </c>
    </row>
    <row r="61" spans="2:12">
      <c r="B61">
        <v>45</v>
      </c>
      <c r="C61" t="s">
        <v>174</v>
      </c>
      <c r="D61" s="7" t="s">
        <v>25</v>
      </c>
      <c r="E61" s="12" t="s">
        <v>26</v>
      </c>
      <c r="F61" s="7" t="s">
        <v>27</v>
      </c>
      <c r="G61" t="s">
        <v>174</v>
      </c>
      <c r="H61" s="7" t="str">
        <f t="shared" si="0"/>
        <v>["免费百抽"]</v>
      </c>
      <c r="I61" s="13">
        <v>1</v>
      </c>
      <c r="J61" s="7">
        <v>5</v>
      </c>
      <c r="K61" t="str">
        <f t="shared" si="1"/>
        <v>免费百抽</v>
      </c>
      <c r="L61" s="7">
        <v>45</v>
      </c>
    </row>
    <row r="62" spans="2:12">
      <c r="B62">
        <v>47</v>
      </c>
      <c r="C62" t="s">
        <v>175</v>
      </c>
      <c r="D62" s="7" t="s">
        <v>176</v>
      </c>
      <c r="E62" s="12" t="s">
        <v>177</v>
      </c>
      <c r="F62" s="7" t="s">
        <v>27</v>
      </c>
      <c r="G62" t="s">
        <v>175</v>
      </c>
      <c r="H62" s="7" t="str">
        <f t="shared" si="0"/>
        <v>["领主密令"]</v>
      </c>
      <c r="I62" s="13">
        <v>3</v>
      </c>
      <c r="J62" s="7">
        <v>25</v>
      </c>
      <c r="K62" t="str">
        <f t="shared" si="1"/>
        <v>领主密令</v>
      </c>
      <c r="L62" s="7">
        <v>45</v>
      </c>
    </row>
    <row r="63" spans="2:12">
      <c r="B63">
        <v>49</v>
      </c>
      <c r="C63" t="s">
        <v>178</v>
      </c>
      <c r="D63" s="7" t="s">
        <v>179</v>
      </c>
      <c r="E63" s="12" t="s">
        <v>180</v>
      </c>
      <c r="F63" s="7" t="s">
        <v>181</v>
      </c>
      <c r="G63" t="s">
        <v>178</v>
      </c>
      <c r="H63" s="7" t="str">
        <f t="shared" si="0"/>
        <v>["虚空破晓"]</v>
      </c>
      <c r="I63" s="13">
        <v>1</v>
      </c>
      <c r="J63" s="7">
        <v>28</v>
      </c>
      <c r="K63" t="str">
        <f t="shared" si="1"/>
        <v>虚空破晓</v>
      </c>
      <c r="L63" s="7">
        <v>49</v>
      </c>
    </row>
    <row r="64" spans="2:12">
      <c r="B64">
        <v>10047</v>
      </c>
      <c r="C64" t="s">
        <v>182</v>
      </c>
      <c r="D64" s="7" t="s">
        <v>183</v>
      </c>
      <c r="E64" s="12" t="s">
        <v>184</v>
      </c>
      <c r="F64" s="7" t="s">
        <v>27</v>
      </c>
      <c r="G64" t="s">
        <v>182</v>
      </c>
      <c r="H64" s="7" t="str">
        <f t="shared" si="0"/>
        <v>["虚空战令"]</v>
      </c>
      <c r="I64" s="13">
        <v>2</v>
      </c>
      <c r="J64" s="7">
        <v>28</v>
      </c>
      <c r="K64" t="str">
        <f t="shared" si="1"/>
        <v>虚空战令</v>
      </c>
      <c r="L64" s="7">
        <v>47</v>
      </c>
    </row>
    <row r="65" spans="2:12">
      <c r="B65">
        <v>30014</v>
      </c>
      <c r="C65" t="s">
        <v>185</v>
      </c>
      <c r="D65" s="7" t="s">
        <v>186</v>
      </c>
      <c r="E65" s="12" t="s">
        <v>187</v>
      </c>
      <c r="F65" s="7" t="s">
        <v>27</v>
      </c>
      <c r="G65" t="s">
        <v>185</v>
      </c>
      <c r="H65" s="7" t="str">
        <f t="shared" si="0"/>
        <v>["虚空礼包"]</v>
      </c>
      <c r="I65" s="13">
        <v>3</v>
      </c>
      <c r="J65" s="7">
        <v>28</v>
      </c>
      <c r="K65" t="str">
        <f t="shared" si="1"/>
        <v>虚空礼包</v>
      </c>
      <c r="L65" s="7">
        <v>14</v>
      </c>
    </row>
    <row r="66" spans="2:12">
      <c r="B66">
        <v>50</v>
      </c>
      <c r="C66" t="s">
        <v>188</v>
      </c>
      <c r="D66" s="7" t="s">
        <v>186</v>
      </c>
      <c r="E66" s="12" t="s">
        <v>187</v>
      </c>
      <c r="F66" s="7" t="s">
        <v>27</v>
      </c>
      <c r="G66" t="s">
        <v>188</v>
      </c>
      <c r="H66" s="7" t="str">
        <f t="shared" si="0"/>
        <v>["军团降临"]</v>
      </c>
      <c r="I66" s="13">
        <v>1</v>
      </c>
      <c r="J66" s="7">
        <v>30</v>
      </c>
      <c r="K66" t="str">
        <f t="shared" si="1"/>
        <v>军团降临</v>
      </c>
      <c r="L66" s="7">
        <v>50</v>
      </c>
    </row>
    <row r="67" spans="2:12">
      <c r="B67">
        <v>51</v>
      </c>
      <c r="C67" t="s">
        <v>189</v>
      </c>
      <c r="D67" s="7" t="s">
        <v>190</v>
      </c>
      <c r="E67" s="12" t="s">
        <v>187</v>
      </c>
      <c r="F67" s="7" t="s">
        <v>27</v>
      </c>
      <c r="G67" t="s">
        <v>189</v>
      </c>
      <c r="H67" s="7" t="str">
        <f t="shared" si="0"/>
        <v>["战魂圣殿"]</v>
      </c>
      <c r="I67" s="13">
        <v>1</v>
      </c>
      <c r="J67" s="7">
        <v>32</v>
      </c>
      <c r="K67" t="str">
        <f t="shared" si="1"/>
        <v>战魂圣殿</v>
      </c>
      <c r="L67" s="7">
        <v>51</v>
      </c>
    </row>
    <row r="68" spans="2:12">
      <c r="B68">
        <v>40014</v>
      </c>
      <c r="C68" t="s">
        <v>191</v>
      </c>
      <c r="D68" s="7" t="s">
        <v>192</v>
      </c>
      <c r="E68" s="12" t="s">
        <v>193</v>
      </c>
      <c r="F68" s="7" t="s">
        <v>27</v>
      </c>
      <c r="G68" t="s">
        <v>191</v>
      </c>
      <c r="H68" s="7" t="str">
        <f t="shared" si="0"/>
        <v>["战魂礼包"]</v>
      </c>
      <c r="I68" s="13">
        <v>2</v>
      </c>
      <c r="J68" s="7">
        <v>32</v>
      </c>
      <c r="K68" t="str">
        <f t="shared" si="1"/>
        <v>战魂礼包</v>
      </c>
      <c r="L68" s="7">
        <v>14</v>
      </c>
    </row>
    <row r="69" spans="2:12">
      <c r="B69">
        <v>52</v>
      </c>
      <c r="C69" t="s">
        <v>194</v>
      </c>
      <c r="D69" s="7" t="s">
        <v>195</v>
      </c>
      <c r="E69" s="12" t="s">
        <v>196</v>
      </c>
      <c r="F69" s="7" t="s">
        <v>27</v>
      </c>
      <c r="G69" t="s">
        <v>194</v>
      </c>
      <c r="H69" s="7" t="str">
        <f t="shared" si="0"/>
        <v>["升星达标"]</v>
      </c>
      <c r="I69" s="13">
        <v>3</v>
      </c>
      <c r="J69" s="7">
        <v>33</v>
      </c>
      <c r="K69" t="str">
        <f t="shared" si="1"/>
        <v>升星达标</v>
      </c>
      <c r="L69" s="7">
        <v>52</v>
      </c>
    </row>
    <row r="70" spans="1:12">
      <c r="A70" t="s">
        <v>151</v>
      </c>
      <c r="B70">
        <v>53</v>
      </c>
      <c r="C70" t="s">
        <v>197</v>
      </c>
      <c r="D70" s="7" t="s">
        <v>198</v>
      </c>
      <c r="E70" s="12" t="s">
        <v>199</v>
      </c>
      <c r="F70" s="7" t="s">
        <v>27</v>
      </c>
      <c r="G70" t="s">
        <v>197</v>
      </c>
      <c r="H70" s="7" t="str">
        <f t="shared" si="0"/>
        <v>["英灵达标"]</v>
      </c>
      <c r="I70" s="13">
        <v>1</v>
      </c>
      <c r="J70" s="7">
        <v>33</v>
      </c>
      <c r="K70" t="str">
        <f t="shared" si="1"/>
        <v>英灵达标</v>
      </c>
      <c r="L70" s="7">
        <v>53</v>
      </c>
    </row>
    <row r="71" spans="2:12">
      <c r="B71">
        <v>10053</v>
      </c>
      <c r="C71" t="s">
        <v>200</v>
      </c>
      <c r="D71" s="7" t="s">
        <v>201</v>
      </c>
      <c r="E71" s="12" t="s">
        <v>202</v>
      </c>
      <c r="F71" s="7" t="s">
        <v>27</v>
      </c>
      <c r="G71" t="s">
        <v>200</v>
      </c>
      <c r="H71" s="7" t="str">
        <f t="shared" si="0"/>
        <v>["阵营达标"]</v>
      </c>
      <c r="I71" s="13">
        <v>2</v>
      </c>
      <c r="J71" s="7">
        <v>33</v>
      </c>
      <c r="K71" t="str">
        <f t="shared" si="1"/>
        <v>阵营达标</v>
      </c>
      <c r="L71" s="7">
        <v>53</v>
      </c>
    </row>
    <row r="72" spans="2:12">
      <c r="B72">
        <v>20047</v>
      </c>
      <c r="C72" t="s">
        <v>203</v>
      </c>
      <c r="D72" s="7" t="s">
        <v>204</v>
      </c>
      <c r="E72" s="12" t="s">
        <v>205</v>
      </c>
      <c r="F72" s="7" t="s">
        <v>27</v>
      </c>
      <c r="G72" t="s">
        <v>203</v>
      </c>
      <c r="H72" s="7" t="str">
        <f t="shared" si="0"/>
        <v>["星宫战令"]</v>
      </c>
      <c r="I72" s="13">
        <v>1</v>
      </c>
      <c r="J72" s="7">
        <v>60</v>
      </c>
      <c r="K72" t="str">
        <f t="shared" si="1"/>
        <v>星宫战令</v>
      </c>
      <c r="L72" s="7">
        <v>47</v>
      </c>
    </row>
    <row r="73" spans="2:12">
      <c r="B73">
        <v>50014</v>
      </c>
      <c r="C73" t="s">
        <v>191</v>
      </c>
      <c r="D73" s="7" t="s">
        <v>206</v>
      </c>
      <c r="E73" s="12" t="s">
        <v>207</v>
      </c>
      <c r="F73" s="7" t="s">
        <v>27</v>
      </c>
      <c r="G73" t="str">
        <f t="shared" ref="G73:G109" si="2">C73</f>
        <v>战魂礼包</v>
      </c>
      <c r="H73" s="7" t="str">
        <f t="shared" si="0"/>
        <v>["战魂礼包"]</v>
      </c>
      <c r="I73" s="13">
        <v>1</v>
      </c>
      <c r="J73" s="7">
        <v>35</v>
      </c>
      <c r="K73" t="str">
        <f t="shared" si="1"/>
        <v>战魂礼包</v>
      </c>
      <c r="L73" s="7">
        <v>14</v>
      </c>
    </row>
    <row r="74" spans="2:12">
      <c r="B74">
        <v>30047</v>
      </c>
      <c r="C74" t="s">
        <v>208</v>
      </c>
      <c r="D74" s="7" t="s">
        <v>209</v>
      </c>
      <c r="E74" s="12" t="s">
        <v>210</v>
      </c>
      <c r="F74" s="7" t="s">
        <v>27</v>
      </c>
      <c r="G74" t="str">
        <f t="shared" si="2"/>
        <v>战魂战令</v>
      </c>
      <c r="H74" s="7" t="str">
        <f t="shared" si="0"/>
        <v>["战魂战令"]</v>
      </c>
      <c r="I74" s="13">
        <v>2</v>
      </c>
      <c r="J74" s="7">
        <v>35</v>
      </c>
      <c r="K74" t="str">
        <f t="shared" si="1"/>
        <v>战魂战令</v>
      </c>
      <c r="L74" s="7">
        <v>47</v>
      </c>
    </row>
    <row r="75" spans="2:12">
      <c r="B75">
        <v>54</v>
      </c>
      <c r="C75" t="s">
        <v>211</v>
      </c>
      <c r="D75" s="7" t="s">
        <v>160</v>
      </c>
      <c r="E75" s="12" t="s">
        <v>199</v>
      </c>
      <c r="F75" s="7" t="s">
        <v>161</v>
      </c>
      <c r="G75" t="str">
        <f t="shared" si="2"/>
        <v>战魂排行榜</v>
      </c>
      <c r="H75" s="7" t="str">
        <f t="shared" si="0"/>
        <v>["战魂排行榜"]</v>
      </c>
      <c r="I75" s="13">
        <v>3</v>
      </c>
      <c r="J75" s="7">
        <v>35</v>
      </c>
      <c r="K75" t="str">
        <f t="shared" si="1"/>
        <v>战魂排行榜</v>
      </c>
      <c r="L75" s="7">
        <v>54</v>
      </c>
    </row>
    <row r="76" spans="2:12">
      <c r="B76">
        <v>60014</v>
      </c>
      <c r="C76" t="s">
        <v>212</v>
      </c>
      <c r="D76" s="7" t="s">
        <v>213</v>
      </c>
      <c r="E76" s="12" t="s">
        <v>214</v>
      </c>
      <c r="F76" s="7" t="s">
        <v>27</v>
      </c>
      <c r="G76" t="str">
        <f t="shared" si="2"/>
        <v>神像礼包</v>
      </c>
      <c r="H76" s="7" t="str">
        <f t="shared" si="0"/>
        <v>["神像礼包"]</v>
      </c>
      <c r="I76" s="13">
        <v>1</v>
      </c>
      <c r="J76" s="7">
        <v>36</v>
      </c>
      <c r="K76" t="str">
        <f t="shared" si="1"/>
        <v>神像礼包</v>
      </c>
      <c r="L76" s="7">
        <v>14</v>
      </c>
    </row>
    <row r="77" spans="2:12">
      <c r="B77">
        <v>40047</v>
      </c>
      <c r="C77" t="s">
        <v>215</v>
      </c>
      <c r="D77" s="7" t="s">
        <v>216</v>
      </c>
      <c r="E77" s="12" t="s">
        <v>217</v>
      </c>
      <c r="F77" s="7" t="s">
        <v>27</v>
      </c>
      <c r="G77" t="str">
        <f t="shared" si="2"/>
        <v>神像战令</v>
      </c>
      <c r="H77" s="7" t="str">
        <f t="shared" si="0"/>
        <v>["神像战令"]</v>
      </c>
      <c r="I77" s="13">
        <v>2</v>
      </c>
      <c r="J77" s="7">
        <v>36</v>
      </c>
      <c r="K77" t="str">
        <f t="shared" si="1"/>
        <v>神像战令</v>
      </c>
      <c r="L77" s="7">
        <v>47</v>
      </c>
    </row>
    <row r="78" spans="2:12">
      <c r="B78">
        <v>10054</v>
      </c>
      <c r="C78" t="s">
        <v>218</v>
      </c>
      <c r="D78" s="7" t="s">
        <v>160</v>
      </c>
      <c r="E78" s="12" t="s">
        <v>199</v>
      </c>
      <c r="F78" s="7" t="s">
        <v>161</v>
      </c>
      <c r="G78" t="str">
        <f t="shared" si="2"/>
        <v>神像排行榜</v>
      </c>
      <c r="H78" s="7" t="str">
        <f t="shared" si="0"/>
        <v>["神像排行榜"]</v>
      </c>
      <c r="I78" s="13">
        <v>3</v>
      </c>
      <c r="J78" s="7">
        <v>36</v>
      </c>
      <c r="K78" t="str">
        <f t="shared" si="1"/>
        <v>神像排行榜</v>
      </c>
      <c r="L78" s="7">
        <v>54</v>
      </c>
    </row>
    <row r="79" spans="2:12">
      <c r="B79">
        <v>55</v>
      </c>
      <c r="C79" t="s">
        <v>219</v>
      </c>
      <c r="D79" s="7" t="s">
        <v>220</v>
      </c>
      <c r="E79" s="12" t="s">
        <v>221</v>
      </c>
      <c r="F79" s="7" t="s">
        <v>27</v>
      </c>
      <c r="G79" t="str">
        <f t="shared" si="2"/>
        <v>每日任务</v>
      </c>
      <c r="H79" s="7" t="str">
        <f t="shared" si="0"/>
        <v>["每日任务"]</v>
      </c>
      <c r="I79" s="13">
        <v>2</v>
      </c>
      <c r="J79" s="7">
        <v>37</v>
      </c>
      <c r="K79" t="str">
        <f t="shared" si="1"/>
        <v>每日任务</v>
      </c>
      <c r="L79" s="7">
        <v>55</v>
      </c>
    </row>
    <row r="80" spans="2:12">
      <c r="B80">
        <v>56</v>
      </c>
      <c r="C80" t="s">
        <v>222</v>
      </c>
      <c r="D80" s="7" t="s">
        <v>223</v>
      </c>
      <c r="E80" s="12" t="s">
        <v>224</v>
      </c>
      <c r="F80" s="7" t="s">
        <v>27</v>
      </c>
      <c r="G80" t="str">
        <f t="shared" si="2"/>
        <v>福运签到</v>
      </c>
      <c r="H80" s="7" t="str">
        <f t="shared" si="0"/>
        <v>["福运签到"]</v>
      </c>
      <c r="I80" s="13">
        <v>1</v>
      </c>
      <c r="J80" s="7">
        <v>37</v>
      </c>
      <c r="K80" t="str">
        <f t="shared" si="1"/>
        <v>福运签到</v>
      </c>
      <c r="L80" s="7">
        <v>56</v>
      </c>
    </row>
    <row r="81" spans="2:12">
      <c r="B81">
        <v>57</v>
      </c>
      <c r="C81" t="s">
        <v>225</v>
      </c>
      <c r="D81" s="7" t="s">
        <v>226</v>
      </c>
      <c r="E81" s="12" t="s">
        <v>217</v>
      </c>
      <c r="F81" s="7" t="s">
        <v>27</v>
      </c>
      <c r="G81" t="str">
        <f t="shared" si="2"/>
        <v>福运挑战</v>
      </c>
      <c r="H81" s="7" t="str">
        <f t="shared" si="0"/>
        <v>["福运挑战"]</v>
      </c>
      <c r="I81" s="13">
        <v>3</v>
      </c>
      <c r="J81" s="7">
        <v>37</v>
      </c>
      <c r="K81" t="str">
        <f t="shared" si="1"/>
        <v>福运挑战</v>
      </c>
      <c r="L81" s="7">
        <v>57</v>
      </c>
    </row>
    <row r="82" spans="2:12">
      <c r="B82">
        <v>58</v>
      </c>
      <c r="C82" t="s">
        <v>227</v>
      </c>
      <c r="D82" s="7" t="s">
        <v>228</v>
      </c>
      <c r="E82" s="12" t="s">
        <v>229</v>
      </c>
      <c r="F82" s="7" t="s">
        <v>230</v>
      </c>
      <c r="G82" t="str">
        <f t="shared" si="2"/>
        <v>新春商店</v>
      </c>
      <c r="H82" s="7" t="str">
        <f t="shared" si="0"/>
        <v>["新春商店"]</v>
      </c>
      <c r="I82" s="13">
        <v>6</v>
      </c>
      <c r="J82" s="7">
        <v>37</v>
      </c>
      <c r="K82" t="str">
        <f t="shared" si="1"/>
        <v>新春商店</v>
      </c>
      <c r="L82" s="7">
        <v>58</v>
      </c>
    </row>
    <row r="83" spans="2:12">
      <c r="B83">
        <v>50047</v>
      </c>
      <c r="C83" t="s">
        <v>231</v>
      </c>
      <c r="D83" s="7" t="s">
        <v>232</v>
      </c>
      <c r="E83" s="12" t="s">
        <v>233</v>
      </c>
      <c r="F83" s="7" t="s">
        <v>27</v>
      </c>
      <c r="G83" t="str">
        <f t="shared" si="2"/>
        <v>新春战令</v>
      </c>
      <c r="H83" s="7" t="str">
        <f t="shared" si="0"/>
        <v>["新春战令"]</v>
      </c>
      <c r="I83" s="13">
        <v>4</v>
      </c>
      <c r="J83" s="7">
        <v>37</v>
      </c>
      <c r="K83" t="str">
        <f t="shared" si="1"/>
        <v>新春战令</v>
      </c>
      <c r="L83" s="7">
        <v>47</v>
      </c>
    </row>
    <row r="84" spans="2:12">
      <c r="B84">
        <v>70014</v>
      </c>
      <c r="C84" t="s">
        <v>234</v>
      </c>
      <c r="D84" s="7" t="s">
        <v>235</v>
      </c>
      <c r="E84" s="12" t="s">
        <v>236</v>
      </c>
      <c r="F84" s="7" t="s">
        <v>27</v>
      </c>
      <c r="G84" t="str">
        <f t="shared" si="2"/>
        <v>福运礼包</v>
      </c>
      <c r="H84" s="7" t="str">
        <f t="shared" si="0"/>
        <v>["福运礼包"]</v>
      </c>
      <c r="I84" s="13">
        <v>5</v>
      </c>
      <c r="J84" s="7">
        <v>37</v>
      </c>
      <c r="K84" t="str">
        <f t="shared" si="1"/>
        <v>福运礼包</v>
      </c>
      <c r="L84" s="7">
        <v>14</v>
      </c>
    </row>
    <row r="85" spans="2:12">
      <c r="B85">
        <v>80014</v>
      </c>
      <c r="C85" t="s">
        <v>237</v>
      </c>
      <c r="D85" s="7" t="s">
        <v>238</v>
      </c>
      <c r="E85" s="12" t="s">
        <v>239</v>
      </c>
      <c r="F85" s="7" t="s">
        <v>27</v>
      </c>
      <c r="G85" t="str">
        <f t="shared" si="2"/>
        <v>历练礼包</v>
      </c>
      <c r="H85" s="7" t="str">
        <f t="shared" si="0"/>
        <v>["历练礼包"]</v>
      </c>
      <c r="I85" s="13">
        <v>2</v>
      </c>
      <c r="J85" s="7">
        <v>38</v>
      </c>
      <c r="K85" t="str">
        <f t="shared" si="1"/>
        <v>历练礼包</v>
      </c>
      <c r="L85" s="7">
        <v>14</v>
      </c>
    </row>
    <row r="86" spans="2:12">
      <c r="B86">
        <v>60047</v>
      </c>
      <c r="C86" t="s">
        <v>240</v>
      </c>
      <c r="D86" s="7" t="s">
        <v>241</v>
      </c>
      <c r="E86" s="12" t="s">
        <v>242</v>
      </c>
      <c r="F86" s="7" t="s">
        <v>27</v>
      </c>
      <c r="G86" t="str">
        <f t="shared" si="2"/>
        <v>历练战令</v>
      </c>
      <c r="H86" s="7" t="str">
        <f t="shared" si="0"/>
        <v>["历练战令"]</v>
      </c>
      <c r="I86" s="13">
        <v>3</v>
      </c>
      <c r="J86" s="7">
        <v>38</v>
      </c>
      <c r="K86" t="str">
        <f t="shared" si="1"/>
        <v>历练战令</v>
      </c>
      <c r="L86" s="7">
        <v>47</v>
      </c>
    </row>
    <row r="87" spans="2:12">
      <c r="B87">
        <v>10055</v>
      </c>
      <c r="C87" t="s">
        <v>243</v>
      </c>
      <c r="D87" s="7" t="s">
        <v>244</v>
      </c>
      <c r="E87" s="12" t="s">
        <v>245</v>
      </c>
      <c r="F87" s="7" t="s">
        <v>27</v>
      </c>
      <c r="G87" t="str">
        <f t="shared" si="2"/>
        <v>历练任务</v>
      </c>
      <c r="H87" s="7" t="str">
        <f t="shared" si="0"/>
        <v>["历练任务"]</v>
      </c>
      <c r="I87" s="13">
        <v>1</v>
      </c>
      <c r="J87" s="7">
        <v>38</v>
      </c>
      <c r="K87" t="str">
        <f t="shared" si="1"/>
        <v>历练任务</v>
      </c>
      <c r="L87" s="7">
        <v>55</v>
      </c>
    </row>
    <row r="88" spans="2:12">
      <c r="B88">
        <v>20055</v>
      </c>
      <c r="C88" t="s">
        <v>246</v>
      </c>
      <c r="D88" s="7" t="s">
        <v>220</v>
      </c>
      <c r="E88" s="12" t="s">
        <v>247</v>
      </c>
      <c r="F88" s="7" t="s">
        <v>27</v>
      </c>
      <c r="G88" t="str">
        <f t="shared" si="2"/>
        <v>元宵任务</v>
      </c>
      <c r="H88" s="7" t="str">
        <f t="shared" si="0"/>
        <v>["元宵任务"]</v>
      </c>
      <c r="I88" s="13">
        <v>2</v>
      </c>
      <c r="J88" s="7">
        <v>37</v>
      </c>
      <c r="K88" t="str">
        <f t="shared" si="1"/>
        <v>元宵任务</v>
      </c>
      <c r="L88" s="7">
        <v>55</v>
      </c>
    </row>
    <row r="89" spans="2:12">
      <c r="B89">
        <v>10056</v>
      </c>
      <c r="C89" t="s">
        <v>248</v>
      </c>
      <c r="D89" s="7" t="s">
        <v>223</v>
      </c>
      <c r="E89" s="12" t="s">
        <v>224</v>
      </c>
      <c r="F89" s="7" t="s">
        <v>27</v>
      </c>
      <c r="G89" t="str">
        <f t="shared" si="2"/>
        <v>元宵签到</v>
      </c>
      <c r="H89" s="7" t="str">
        <f t="shared" si="0"/>
        <v>["元宵签到"]</v>
      </c>
      <c r="I89" s="13">
        <v>1</v>
      </c>
      <c r="J89" s="7">
        <v>37</v>
      </c>
      <c r="K89" t="str">
        <f t="shared" si="1"/>
        <v>元宵签到</v>
      </c>
      <c r="L89" s="7">
        <v>56</v>
      </c>
    </row>
    <row r="90" spans="2:12">
      <c r="B90">
        <v>10057</v>
      </c>
      <c r="C90" t="s">
        <v>249</v>
      </c>
      <c r="D90" s="7" t="s">
        <v>226</v>
      </c>
      <c r="E90" s="12" t="s">
        <v>217</v>
      </c>
      <c r="F90" s="7" t="s">
        <v>27</v>
      </c>
      <c r="G90" t="str">
        <f t="shared" si="2"/>
        <v>元宵挑战</v>
      </c>
      <c r="H90" s="7" t="str">
        <f t="shared" si="0"/>
        <v>["元宵挑战"]</v>
      </c>
      <c r="I90" s="13">
        <v>3</v>
      </c>
      <c r="J90" s="7">
        <v>37</v>
      </c>
      <c r="K90" t="str">
        <f t="shared" si="1"/>
        <v>元宵挑战</v>
      </c>
      <c r="L90" s="7">
        <v>57</v>
      </c>
    </row>
    <row r="91" spans="2:12">
      <c r="B91">
        <v>10058</v>
      </c>
      <c r="C91" t="s">
        <v>250</v>
      </c>
      <c r="D91" s="7" t="s">
        <v>228</v>
      </c>
      <c r="E91" s="12" t="s">
        <v>229</v>
      </c>
      <c r="F91" s="7" t="s">
        <v>230</v>
      </c>
      <c r="G91" t="str">
        <f t="shared" si="2"/>
        <v>元宵商店</v>
      </c>
      <c r="H91" s="7" t="str">
        <f t="shared" si="0"/>
        <v>["元宵商店"]</v>
      </c>
      <c r="I91" s="13">
        <v>6</v>
      </c>
      <c r="J91" s="7">
        <v>37</v>
      </c>
      <c r="K91" t="str">
        <f t="shared" si="1"/>
        <v>元宵商店</v>
      </c>
      <c r="L91" s="7">
        <v>58</v>
      </c>
    </row>
    <row r="92" spans="2:12">
      <c r="B92">
        <v>70047</v>
      </c>
      <c r="C92" t="s">
        <v>251</v>
      </c>
      <c r="D92" s="7" t="s">
        <v>252</v>
      </c>
      <c r="E92" s="12" t="s">
        <v>253</v>
      </c>
      <c r="F92" s="7" t="s">
        <v>27</v>
      </c>
      <c r="G92" t="str">
        <f t="shared" si="2"/>
        <v>元宵战令</v>
      </c>
      <c r="H92" s="7" t="str">
        <f t="shared" si="0"/>
        <v>["元宵战令"]</v>
      </c>
      <c r="I92" s="13">
        <v>4</v>
      </c>
      <c r="J92" s="7">
        <v>37</v>
      </c>
      <c r="K92" t="str">
        <f t="shared" si="1"/>
        <v>元宵战令</v>
      </c>
      <c r="L92" s="7">
        <v>47</v>
      </c>
    </row>
    <row r="93" spans="2:12">
      <c r="B93">
        <v>90014</v>
      </c>
      <c r="C93" t="s">
        <v>254</v>
      </c>
      <c r="D93" s="7" t="s">
        <v>255</v>
      </c>
      <c r="E93" s="12" t="s">
        <v>256</v>
      </c>
      <c r="F93" s="7" t="s">
        <v>27</v>
      </c>
      <c r="G93" t="str">
        <f t="shared" si="2"/>
        <v>元宵礼包</v>
      </c>
      <c r="H93" s="7" t="str">
        <f t="shared" si="0"/>
        <v>["元宵礼包"]</v>
      </c>
      <c r="I93" s="13">
        <v>5</v>
      </c>
      <c r="J93" s="7">
        <v>37</v>
      </c>
      <c r="K93" t="str">
        <f t="shared" si="1"/>
        <v>元宵礼包</v>
      </c>
      <c r="L93" s="7">
        <v>14</v>
      </c>
    </row>
    <row r="94" spans="2:12">
      <c r="B94">
        <v>100014</v>
      </c>
      <c r="C94" t="s">
        <v>257</v>
      </c>
      <c r="D94" s="7" t="s">
        <v>258</v>
      </c>
      <c r="E94" s="12" t="s">
        <v>259</v>
      </c>
      <c r="F94" s="7" t="s">
        <v>27</v>
      </c>
      <c r="G94" t="str">
        <f t="shared" si="2"/>
        <v>宝石礼包</v>
      </c>
      <c r="H94" s="7" t="str">
        <f t="shared" si="0"/>
        <v>["宝石礼包"]</v>
      </c>
      <c r="I94" s="13">
        <v>1</v>
      </c>
      <c r="J94" s="7">
        <v>39</v>
      </c>
      <c r="K94" t="str">
        <f t="shared" si="1"/>
        <v>宝石礼包</v>
      </c>
      <c r="L94" s="7">
        <v>14</v>
      </c>
    </row>
    <row r="95" spans="2:12">
      <c r="B95">
        <v>80047</v>
      </c>
      <c r="C95" t="s">
        <v>260</v>
      </c>
      <c r="D95" s="7" t="s">
        <v>261</v>
      </c>
      <c r="E95" s="12" t="s">
        <v>262</v>
      </c>
      <c r="F95" s="7" t="s">
        <v>27</v>
      </c>
      <c r="G95" t="str">
        <f t="shared" si="2"/>
        <v>宝石战令</v>
      </c>
      <c r="H95" s="7" t="str">
        <f t="shared" si="0"/>
        <v>["宝石战令"]</v>
      </c>
      <c r="I95" s="13">
        <v>2</v>
      </c>
      <c r="J95" s="7">
        <v>39</v>
      </c>
      <c r="K95" t="str">
        <f t="shared" si="1"/>
        <v>宝石战令</v>
      </c>
      <c r="L95" s="7">
        <v>47</v>
      </c>
    </row>
    <row r="96" spans="2:12">
      <c r="B96">
        <v>20054</v>
      </c>
      <c r="C96" t="s">
        <v>263</v>
      </c>
      <c r="D96" s="7" t="s">
        <v>160</v>
      </c>
      <c r="E96" s="12" t="s">
        <v>199</v>
      </c>
      <c r="F96" s="7" t="s">
        <v>161</v>
      </c>
      <c r="G96" t="str">
        <f t="shared" si="2"/>
        <v>宝石排行榜</v>
      </c>
      <c r="H96" s="7" t="str">
        <f t="shared" si="0"/>
        <v>["宝石排行榜"]</v>
      </c>
      <c r="I96" s="13">
        <v>4</v>
      </c>
      <c r="J96" s="7">
        <v>39</v>
      </c>
      <c r="K96" t="str">
        <f t="shared" si="1"/>
        <v>宝石排行榜</v>
      </c>
      <c r="L96" s="7">
        <v>54</v>
      </c>
    </row>
    <row r="97" spans="2:12">
      <c r="B97">
        <v>40066</v>
      </c>
      <c r="C97" t="s">
        <v>264</v>
      </c>
      <c r="D97" s="7" t="s">
        <v>265</v>
      </c>
      <c r="E97" s="12" t="s">
        <v>266</v>
      </c>
      <c r="F97" s="7" t="s">
        <v>161</v>
      </c>
      <c r="G97" t="str">
        <f t="shared" si="2"/>
        <v>宝石达标</v>
      </c>
      <c r="H97" s="7" t="str">
        <f t="shared" si="0"/>
        <v>["宝石达标"]</v>
      </c>
      <c r="I97" s="13">
        <v>3</v>
      </c>
      <c r="J97" s="7">
        <v>39</v>
      </c>
      <c r="K97" t="str">
        <f t="shared" si="1"/>
        <v>宝石达标</v>
      </c>
      <c r="L97" s="7">
        <v>66</v>
      </c>
    </row>
    <row r="98" spans="2:12">
      <c r="B98">
        <v>90047</v>
      </c>
      <c r="C98" t="s">
        <v>267</v>
      </c>
      <c r="D98" s="7" t="s">
        <v>268</v>
      </c>
      <c r="E98" s="12" t="s">
        <v>269</v>
      </c>
      <c r="F98" s="7" t="s">
        <v>270</v>
      </c>
      <c r="G98" t="str">
        <f t="shared" si="2"/>
        <v>古神战令</v>
      </c>
      <c r="H98" s="7" t="str">
        <f t="shared" si="0"/>
        <v>["古神战令"]</v>
      </c>
      <c r="I98" s="13">
        <v>1</v>
      </c>
      <c r="J98" s="7">
        <v>60</v>
      </c>
      <c r="K98" t="str">
        <f t="shared" si="1"/>
        <v>古神战令</v>
      </c>
      <c r="L98" s="7">
        <v>47</v>
      </c>
    </row>
    <row r="99" spans="2:12">
      <c r="B99">
        <v>10049</v>
      </c>
      <c r="C99" t="s">
        <v>271</v>
      </c>
      <c r="D99" s="7" t="s">
        <v>179</v>
      </c>
      <c r="E99" s="12" t="s">
        <v>272</v>
      </c>
      <c r="F99" s="7" t="s">
        <v>273</v>
      </c>
      <c r="G99" t="str">
        <f t="shared" si="2"/>
        <v>虚空行者</v>
      </c>
      <c r="H99" s="7" t="str">
        <f t="shared" si="0"/>
        <v>["虚空行者"]</v>
      </c>
      <c r="I99" s="13">
        <v>1</v>
      </c>
      <c r="J99" s="7">
        <v>41</v>
      </c>
      <c r="K99" t="str">
        <f t="shared" si="1"/>
        <v>虚空行者</v>
      </c>
      <c r="L99" s="7">
        <v>49</v>
      </c>
    </row>
    <row r="100" spans="2:12">
      <c r="B100">
        <v>100047</v>
      </c>
      <c r="C100" t="s">
        <v>182</v>
      </c>
      <c r="D100" s="7" t="s">
        <v>183</v>
      </c>
      <c r="E100" s="12" t="s">
        <v>274</v>
      </c>
      <c r="F100" s="7" t="s">
        <v>27</v>
      </c>
      <c r="G100" t="str">
        <f t="shared" si="2"/>
        <v>虚空战令</v>
      </c>
      <c r="H100" s="7" t="str">
        <f t="shared" si="0"/>
        <v>["虚空战令"]</v>
      </c>
      <c r="I100" s="13">
        <v>2</v>
      </c>
      <c r="J100" s="7">
        <v>41</v>
      </c>
      <c r="K100" t="str">
        <f t="shared" si="1"/>
        <v>虚空战令</v>
      </c>
      <c r="L100" s="7">
        <v>47</v>
      </c>
    </row>
    <row r="101" spans="2:12">
      <c r="B101">
        <v>110014</v>
      </c>
      <c r="C101" t="s">
        <v>185</v>
      </c>
      <c r="D101" s="7" t="s">
        <v>186</v>
      </c>
      <c r="E101" s="12" t="s">
        <v>275</v>
      </c>
      <c r="F101" s="7" t="s">
        <v>27</v>
      </c>
      <c r="G101" t="str">
        <f t="shared" si="2"/>
        <v>虚空礼包</v>
      </c>
      <c r="H101" s="7" t="str">
        <f t="shared" si="0"/>
        <v>["虚空礼包"]</v>
      </c>
      <c r="I101" s="13">
        <v>3</v>
      </c>
      <c r="J101" s="7">
        <v>41</v>
      </c>
      <c r="K101" t="str">
        <f t="shared" si="1"/>
        <v>虚空礼包</v>
      </c>
      <c r="L101" s="7">
        <v>14</v>
      </c>
    </row>
    <row r="102" spans="2:12">
      <c r="B102">
        <v>61</v>
      </c>
      <c r="C102" t="s">
        <v>237</v>
      </c>
      <c r="D102" s="7" t="s">
        <v>238</v>
      </c>
      <c r="E102" s="12" t="s">
        <v>239</v>
      </c>
      <c r="F102" s="7" t="s">
        <v>27</v>
      </c>
      <c r="G102" t="str">
        <f t="shared" si="2"/>
        <v>历练礼包</v>
      </c>
      <c r="H102" s="7" t="str">
        <f t="shared" si="0"/>
        <v>["历练礼包"]</v>
      </c>
      <c r="I102" s="13">
        <v>2</v>
      </c>
      <c r="J102" s="7">
        <v>42</v>
      </c>
      <c r="K102" t="str">
        <f t="shared" si="1"/>
        <v>历练礼包</v>
      </c>
      <c r="L102" s="7">
        <v>61</v>
      </c>
    </row>
    <row r="103" spans="2:12">
      <c r="B103">
        <v>60</v>
      </c>
      <c r="C103" t="s">
        <v>240</v>
      </c>
      <c r="D103" s="7" t="s">
        <v>241</v>
      </c>
      <c r="E103" s="12" t="s">
        <v>242</v>
      </c>
      <c r="F103" s="7" t="s">
        <v>27</v>
      </c>
      <c r="G103" t="str">
        <f t="shared" si="2"/>
        <v>历练战令</v>
      </c>
      <c r="H103" s="7" t="str">
        <f t="shared" si="0"/>
        <v>["历练战令"]</v>
      </c>
      <c r="I103" s="13">
        <v>3</v>
      </c>
      <c r="J103" s="7">
        <v>42</v>
      </c>
      <c r="K103" t="str">
        <f t="shared" si="1"/>
        <v>历练战令</v>
      </c>
      <c r="L103" s="7">
        <v>60</v>
      </c>
    </row>
    <row r="104" spans="2:12">
      <c r="B104">
        <v>62</v>
      </c>
      <c r="C104" t="s">
        <v>243</v>
      </c>
      <c r="D104" s="7" t="s">
        <v>244</v>
      </c>
      <c r="E104" s="12" t="s">
        <v>245</v>
      </c>
      <c r="F104" s="7" t="s">
        <v>27</v>
      </c>
      <c r="G104" t="str">
        <f t="shared" si="2"/>
        <v>历练任务</v>
      </c>
      <c r="H104" s="7" t="str">
        <f t="shared" si="0"/>
        <v>["历练任务"]</v>
      </c>
      <c r="I104" s="13">
        <v>1</v>
      </c>
      <c r="J104" s="7">
        <v>42</v>
      </c>
      <c r="K104" t="str">
        <f t="shared" si="1"/>
        <v>历练任务</v>
      </c>
      <c r="L104" s="7">
        <v>62</v>
      </c>
    </row>
    <row r="105" spans="2:12">
      <c r="B105">
        <v>110047</v>
      </c>
      <c r="C105" t="s">
        <v>276</v>
      </c>
      <c r="D105" s="7" t="s">
        <v>277</v>
      </c>
      <c r="E105" s="12" t="s">
        <v>278</v>
      </c>
      <c r="F105" s="7" t="s">
        <v>27</v>
      </c>
      <c r="G105" t="str">
        <f t="shared" si="2"/>
        <v>神兽战令</v>
      </c>
      <c r="H105" s="7" t="str">
        <f t="shared" si="0"/>
        <v>["神兽战令"]</v>
      </c>
      <c r="I105" s="13">
        <v>3</v>
      </c>
      <c r="J105" s="7">
        <v>44</v>
      </c>
      <c r="K105" t="str">
        <f t="shared" si="1"/>
        <v>神兽战令</v>
      </c>
      <c r="L105" s="7">
        <v>47</v>
      </c>
    </row>
    <row r="106" spans="2:12">
      <c r="B106">
        <v>30055</v>
      </c>
      <c r="C106" t="s">
        <v>279</v>
      </c>
      <c r="D106" s="7" t="s">
        <v>280</v>
      </c>
      <c r="E106" s="12" t="s">
        <v>281</v>
      </c>
      <c r="F106" s="7" t="s">
        <v>27</v>
      </c>
      <c r="G106" t="str">
        <f t="shared" si="2"/>
        <v>神兽任务</v>
      </c>
      <c r="H106" s="7" t="str">
        <f t="shared" si="0"/>
        <v>["神兽任务"]</v>
      </c>
      <c r="I106" s="13">
        <v>1</v>
      </c>
      <c r="J106" s="7">
        <v>44</v>
      </c>
      <c r="K106" t="str">
        <f t="shared" si="1"/>
        <v>神兽任务</v>
      </c>
      <c r="L106" s="7">
        <v>55</v>
      </c>
    </row>
    <row r="107" spans="2:12">
      <c r="B107">
        <v>20053</v>
      </c>
      <c r="C107" t="s">
        <v>282</v>
      </c>
      <c r="D107" s="7" t="s">
        <v>283</v>
      </c>
      <c r="E107" s="12" t="s">
        <v>284</v>
      </c>
      <c r="F107" s="7" t="s">
        <v>27</v>
      </c>
      <c r="G107" t="str">
        <f t="shared" si="2"/>
        <v>神兽达标</v>
      </c>
      <c r="H107" s="7" t="str">
        <f t="shared" si="0"/>
        <v>["神兽达标"]</v>
      </c>
      <c r="I107" s="13">
        <v>4</v>
      </c>
      <c r="J107" s="7">
        <v>44</v>
      </c>
      <c r="K107" t="str">
        <f t="shared" si="1"/>
        <v>神兽达标</v>
      </c>
      <c r="L107" s="7">
        <v>53</v>
      </c>
    </row>
    <row r="108" spans="2:12">
      <c r="B108">
        <v>30054</v>
      </c>
      <c r="C108" t="s">
        <v>285</v>
      </c>
      <c r="D108" s="7" t="s">
        <v>160</v>
      </c>
      <c r="E108" s="12" t="s">
        <v>245</v>
      </c>
      <c r="F108" s="7" t="s">
        <v>161</v>
      </c>
      <c r="G108" t="str">
        <f t="shared" si="2"/>
        <v>神兽排行榜</v>
      </c>
      <c r="H108" s="7" t="str">
        <f t="shared" si="0"/>
        <v>["神兽排行榜"]</v>
      </c>
      <c r="I108" s="13">
        <v>5</v>
      </c>
      <c r="J108" s="7">
        <v>44</v>
      </c>
      <c r="K108" t="str">
        <f t="shared" si="1"/>
        <v>神兽排行榜</v>
      </c>
      <c r="L108" s="7">
        <v>54</v>
      </c>
    </row>
    <row r="109" spans="2:12">
      <c r="B109">
        <v>120014</v>
      </c>
      <c r="C109" t="s">
        <v>286</v>
      </c>
      <c r="D109" s="7" t="s">
        <v>287</v>
      </c>
      <c r="E109" s="12" t="s">
        <v>288</v>
      </c>
      <c r="F109" s="7" t="s">
        <v>27</v>
      </c>
      <c r="G109" t="str">
        <f t="shared" si="2"/>
        <v>神兽礼包</v>
      </c>
      <c r="H109" s="7" t="str">
        <f t="shared" si="0"/>
        <v>["神兽礼包"]</v>
      </c>
      <c r="I109" s="13">
        <v>2</v>
      </c>
      <c r="J109" s="7">
        <v>44</v>
      </c>
      <c r="K109" t="str">
        <f t="shared" si="1"/>
        <v>神兽礼包</v>
      </c>
      <c r="L109" s="7">
        <v>14</v>
      </c>
    </row>
    <row r="110" spans="2:12">
      <c r="B110">
        <v>10061</v>
      </c>
      <c r="C110" t="s">
        <v>289</v>
      </c>
      <c r="D110" s="7" t="s">
        <v>287</v>
      </c>
      <c r="E110" s="12" t="s">
        <v>290</v>
      </c>
      <c r="F110" s="7" t="s">
        <v>27</v>
      </c>
      <c r="G110" t="s">
        <v>286</v>
      </c>
      <c r="H110" s="7" t="s">
        <v>291</v>
      </c>
      <c r="I110" s="13">
        <v>1</v>
      </c>
      <c r="J110" s="7">
        <v>43</v>
      </c>
      <c r="K110" t="s">
        <v>286</v>
      </c>
      <c r="L110" s="7">
        <v>61</v>
      </c>
    </row>
    <row r="111" spans="2:12">
      <c r="B111">
        <v>10060</v>
      </c>
      <c r="C111" t="s">
        <v>292</v>
      </c>
      <c r="D111" s="7" t="s">
        <v>293</v>
      </c>
      <c r="E111" s="12" t="s">
        <v>294</v>
      </c>
      <c r="F111" s="7" t="s">
        <v>27</v>
      </c>
      <c r="G111" t="s">
        <v>292</v>
      </c>
      <c r="H111" s="7" t="s">
        <v>295</v>
      </c>
      <c r="I111" s="13">
        <v>1</v>
      </c>
      <c r="J111" s="7">
        <v>60</v>
      </c>
      <c r="K111" t="s">
        <v>292</v>
      </c>
      <c r="L111">
        <v>60</v>
      </c>
    </row>
    <row r="112" spans="2:12">
      <c r="B112">
        <v>20060</v>
      </c>
      <c r="C112" t="s">
        <v>292</v>
      </c>
      <c r="D112" s="7" t="s">
        <v>293</v>
      </c>
      <c r="E112" s="12" t="s">
        <v>294</v>
      </c>
      <c r="F112" s="7" t="s">
        <v>27</v>
      </c>
      <c r="G112" t="s">
        <v>292</v>
      </c>
      <c r="H112" s="7" t="s">
        <v>295</v>
      </c>
      <c r="I112" s="13">
        <v>1</v>
      </c>
      <c r="J112" s="7">
        <v>60</v>
      </c>
      <c r="K112" t="s">
        <v>292</v>
      </c>
      <c r="L112">
        <v>60</v>
      </c>
    </row>
    <row r="113" spans="2:12">
      <c r="B113">
        <v>130014</v>
      </c>
      <c r="C113" t="s">
        <v>191</v>
      </c>
      <c r="D113" s="7" t="s">
        <v>192</v>
      </c>
      <c r="E113" s="12" t="s">
        <v>193</v>
      </c>
      <c r="F113" s="7" t="s">
        <v>27</v>
      </c>
      <c r="G113" t="s">
        <v>191</v>
      </c>
      <c r="H113" s="7" t="str">
        <f t="shared" ref="H113:H176" si="3">"["&amp;$M$51&amp;G113&amp;$M$51&amp;"]"</f>
        <v>["战魂礼包"]</v>
      </c>
      <c r="I113" s="13">
        <v>4</v>
      </c>
      <c r="J113" s="7">
        <v>46</v>
      </c>
      <c r="K113" t="str">
        <f t="shared" ref="K113:K176" si="4">G113</f>
        <v>战魂礼包</v>
      </c>
      <c r="L113" s="7">
        <v>14</v>
      </c>
    </row>
    <row r="114" spans="2:12">
      <c r="B114">
        <v>30053</v>
      </c>
      <c r="C114" t="s">
        <v>296</v>
      </c>
      <c r="D114" s="7" t="s">
        <v>297</v>
      </c>
      <c r="E114" s="12" t="s">
        <v>298</v>
      </c>
      <c r="F114" s="7" t="s">
        <v>27</v>
      </c>
      <c r="G114" t="str">
        <f t="shared" ref="G114:G116" si="5">C114</f>
        <v>战魂达标</v>
      </c>
      <c r="H114" s="7" t="str">
        <f t="shared" si="3"/>
        <v>["战魂达标"]</v>
      </c>
      <c r="I114" s="13">
        <v>3</v>
      </c>
      <c r="J114" s="7">
        <v>46</v>
      </c>
      <c r="K114" t="str">
        <f t="shared" si="4"/>
        <v>战魂达标</v>
      </c>
      <c r="L114" s="7">
        <v>53</v>
      </c>
    </row>
    <row r="115" spans="2:12">
      <c r="B115">
        <v>40055</v>
      </c>
      <c r="C115" t="s">
        <v>299</v>
      </c>
      <c r="D115" s="7" t="s">
        <v>300</v>
      </c>
      <c r="E115" s="12" t="s">
        <v>301</v>
      </c>
      <c r="F115" s="7" t="s">
        <v>27</v>
      </c>
      <c r="G115" t="str">
        <f t="shared" si="5"/>
        <v>战魂任务</v>
      </c>
      <c r="H115" s="7" t="str">
        <f t="shared" si="3"/>
        <v>["战魂任务"]</v>
      </c>
      <c r="I115" s="13">
        <v>2</v>
      </c>
      <c r="J115" s="7">
        <v>46</v>
      </c>
      <c r="K115" t="str">
        <f t="shared" si="4"/>
        <v>战魂任务</v>
      </c>
      <c r="L115" s="7">
        <v>55</v>
      </c>
    </row>
    <row r="116" spans="2:12">
      <c r="B116">
        <v>120047</v>
      </c>
      <c r="C116" t="s">
        <v>208</v>
      </c>
      <c r="D116" s="7" t="s">
        <v>209</v>
      </c>
      <c r="E116" s="12" t="s">
        <v>302</v>
      </c>
      <c r="F116" s="7" t="s">
        <v>27</v>
      </c>
      <c r="G116" t="str">
        <f t="shared" si="5"/>
        <v>战魂战令</v>
      </c>
      <c r="H116" s="7" t="str">
        <f t="shared" si="3"/>
        <v>["战魂战令"]</v>
      </c>
      <c r="I116" s="13">
        <v>5</v>
      </c>
      <c r="J116" s="7">
        <v>46</v>
      </c>
      <c r="K116" t="str">
        <f t="shared" si="4"/>
        <v>战魂战令</v>
      </c>
      <c r="L116" s="7">
        <v>47</v>
      </c>
    </row>
    <row r="117" spans="2:12">
      <c r="B117">
        <v>64</v>
      </c>
      <c r="C117" t="s">
        <v>189</v>
      </c>
      <c r="D117" s="7" t="s">
        <v>190</v>
      </c>
      <c r="E117" s="12" t="s">
        <v>187</v>
      </c>
      <c r="F117" s="7" t="s">
        <v>27</v>
      </c>
      <c r="G117" t="s">
        <v>189</v>
      </c>
      <c r="H117" s="7" t="str">
        <f t="shared" si="3"/>
        <v>["战魂圣殿"]</v>
      </c>
      <c r="I117" s="13">
        <v>1</v>
      </c>
      <c r="J117" s="7">
        <v>46</v>
      </c>
      <c r="K117" t="str">
        <f t="shared" si="4"/>
        <v>战魂圣殿</v>
      </c>
      <c r="L117">
        <v>64</v>
      </c>
    </row>
    <row r="118" spans="2:12">
      <c r="B118">
        <v>130047</v>
      </c>
      <c r="C118" t="s">
        <v>303</v>
      </c>
      <c r="D118" s="7" t="s">
        <v>304</v>
      </c>
      <c r="E118" s="12" t="s">
        <v>305</v>
      </c>
      <c r="F118" s="7" t="s">
        <v>27</v>
      </c>
      <c r="G118" t="str">
        <f t="shared" ref="G118:G130" si="6">C118</f>
        <v>神器战令</v>
      </c>
      <c r="H118" s="7" t="str">
        <f t="shared" si="3"/>
        <v>["神器战令"]</v>
      </c>
      <c r="I118" s="13">
        <v>3</v>
      </c>
      <c r="J118" s="7">
        <v>47</v>
      </c>
      <c r="K118" t="str">
        <f t="shared" si="4"/>
        <v>神器战令</v>
      </c>
      <c r="L118" s="7">
        <v>47</v>
      </c>
    </row>
    <row r="119" spans="2:12">
      <c r="B119">
        <v>50055</v>
      </c>
      <c r="C119" t="s">
        <v>306</v>
      </c>
      <c r="D119" s="7" t="s">
        <v>307</v>
      </c>
      <c r="E119" s="12" t="s">
        <v>308</v>
      </c>
      <c r="F119" s="7" t="s">
        <v>27</v>
      </c>
      <c r="G119" t="str">
        <f t="shared" si="6"/>
        <v>神器任务</v>
      </c>
      <c r="H119" s="7" t="str">
        <f t="shared" si="3"/>
        <v>["神器任务"]</v>
      </c>
      <c r="I119" s="13">
        <v>1</v>
      </c>
      <c r="J119" s="7">
        <v>47</v>
      </c>
      <c r="K119" t="str">
        <f t="shared" si="4"/>
        <v>神器任务</v>
      </c>
      <c r="L119" s="7">
        <v>55</v>
      </c>
    </row>
    <row r="120" spans="2:12">
      <c r="B120">
        <v>66</v>
      </c>
      <c r="C120" t="s">
        <v>309</v>
      </c>
      <c r="D120" s="7" t="s">
        <v>310</v>
      </c>
      <c r="E120" s="12" t="s">
        <v>311</v>
      </c>
      <c r="F120" s="7" t="s">
        <v>161</v>
      </c>
      <c r="G120" t="str">
        <f t="shared" si="6"/>
        <v>神器达标</v>
      </c>
      <c r="H120" s="7" t="str">
        <f t="shared" si="3"/>
        <v>["神器达标"]</v>
      </c>
      <c r="I120" s="13">
        <v>4</v>
      </c>
      <c r="J120" s="7">
        <v>47</v>
      </c>
      <c r="K120" t="str">
        <f t="shared" si="4"/>
        <v>神器达标</v>
      </c>
      <c r="L120" s="7">
        <v>66</v>
      </c>
    </row>
    <row r="121" spans="2:12">
      <c r="B121">
        <v>40054</v>
      </c>
      <c r="C121" t="s">
        <v>312</v>
      </c>
      <c r="D121" s="7" t="s">
        <v>160</v>
      </c>
      <c r="E121" s="12" t="s">
        <v>245</v>
      </c>
      <c r="F121" s="7" t="s">
        <v>161</v>
      </c>
      <c r="G121" t="str">
        <f t="shared" si="6"/>
        <v>神器排行榜</v>
      </c>
      <c r="H121" s="7" t="str">
        <f t="shared" si="3"/>
        <v>["神器排行榜"]</v>
      </c>
      <c r="I121" s="13">
        <v>5</v>
      </c>
      <c r="J121" s="7">
        <v>47</v>
      </c>
      <c r="K121" t="str">
        <f t="shared" si="4"/>
        <v>神器排行榜</v>
      </c>
      <c r="L121" s="7">
        <v>54</v>
      </c>
    </row>
    <row r="122" spans="2:12">
      <c r="B122">
        <v>140014</v>
      </c>
      <c r="C122" t="s">
        <v>313</v>
      </c>
      <c r="D122" s="7" t="s">
        <v>314</v>
      </c>
      <c r="E122" s="12" t="s">
        <v>315</v>
      </c>
      <c r="F122" s="7" t="s">
        <v>27</v>
      </c>
      <c r="G122" t="str">
        <f t="shared" si="6"/>
        <v>神器礼包</v>
      </c>
      <c r="H122" s="7" t="str">
        <f t="shared" si="3"/>
        <v>["神器礼包"]</v>
      </c>
      <c r="I122" s="13">
        <v>2</v>
      </c>
      <c r="J122" s="7">
        <v>47</v>
      </c>
      <c r="K122" t="str">
        <f t="shared" si="4"/>
        <v>神器礼包</v>
      </c>
      <c r="L122" s="7">
        <v>14</v>
      </c>
    </row>
    <row r="123" spans="2:12">
      <c r="B123">
        <v>30060</v>
      </c>
      <c r="C123" t="s">
        <v>316</v>
      </c>
      <c r="D123" s="7" t="s">
        <v>317</v>
      </c>
      <c r="E123" s="12" t="s">
        <v>318</v>
      </c>
      <c r="F123" s="7" t="s">
        <v>27</v>
      </c>
      <c r="G123" t="str">
        <f t="shared" si="6"/>
        <v>圣碑战令</v>
      </c>
      <c r="H123" s="7" t="str">
        <f t="shared" si="3"/>
        <v>["圣碑战令"]</v>
      </c>
      <c r="I123" s="13">
        <v>1</v>
      </c>
      <c r="J123" s="7">
        <v>60</v>
      </c>
      <c r="K123" t="str">
        <f t="shared" si="4"/>
        <v>圣碑战令</v>
      </c>
      <c r="L123">
        <v>60</v>
      </c>
    </row>
    <row r="124" spans="2:12">
      <c r="B124">
        <v>40060</v>
      </c>
      <c r="C124" t="s">
        <v>316</v>
      </c>
      <c r="D124" s="7" t="s">
        <v>317</v>
      </c>
      <c r="E124" s="12" t="s">
        <v>318</v>
      </c>
      <c r="F124" s="7" t="s">
        <v>27</v>
      </c>
      <c r="G124" t="str">
        <f t="shared" si="6"/>
        <v>圣碑战令</v>
      </c>
      <c r="H124" s="7" t="str">
        <f t="shared" si="3"/>
        <v>["圣碑战令"]</v>
      </c>
      <c r="I124" s="13">
        <v>1</v>
      </c>
      <c r="J124" s="7">
        <v>60</v>
      </c>
      <c r="K124" t="str">
        <f t="shared" si="4"/>
        <v>圣碑战令</v>
      </c>
      <c r="L124">
        <v>60</v>
      </c>
    </row>
    <row r="125" spans="2:12">
      <c r="B125">
        <v>67</v>
      </c>
      <c r="C125" t="s">
        <v>319</v>
      </c>
      <c r="D125" s="7" t="s">
        <v>320</v>
      </c>
      <c r="E125" s="12" t="s">
        <v>318</v>
      </c>
      <c r="F125" s="7" t="s">
        <v>27</v>
      </c>
      <c r="G125" t="str">
        <f t="shared" si="6"/>
        <v>植树织春</v>
      </c>
      <c r="H125" s="7" t="str">
        <f t="shared" si="3"/>
        <v>["植树织春"]</v>
      </c>
      <c r="I125" s="13">
        <v>1</v>
      </c>
      <c r="J125" s="7">
        <v>49</v>
      </c>
      <c r="K125" t="str">
        <f t="shared" si="4"/>
        <v>植树织春</v>
      </c>
      <c r="L125">
        <v>67</v>
      </c>
    </row>
    <row r="126" spans="2:12">
      <c r="B126">
        <v>20057</v>
      </c>
      <c r="C126" t="s">
        <v>321</v>
      </c>
      <c r="D126" s="7" t="s">
        <v>322</v>
      </c>
      <c r="E126" s="12" t="s">
        <v>318</v>
      </c>
      <c r="F126" s="7" t="s">
        <v>27</v>
      </c>
      <c r="G126" t="str">
        <f t="shared" si="6"/>
        <v>森临之战</v>
      </c>
      <c r="H126" s="7" t="str">
        <f t="shared" si="3"/>
        <v>["森临之战"]</v>
      </c>
      <c r="I126" s="13">
        <v>4</v>
      </c>
      <c r="J126" s="7">
        <v>49</v>
      </c>
      <c r="K126" t="str">
        <f t="shared" si="4"/>
        <v>森临之战</v>
      </c>
      <c r="L126">
        <v>57</v>
      </c>
    </row>
    <row r="127" spans="2:12">
      <c r="B127">
        <v>60055</v>
      </c>
      <c r="C127" t="s">
        <v>323</v>
      </c>
      <c r="D127" s="7" t="s">
        <v>324</v>
      </c>
      <c r="E127" s="12" t="s">
        <v>325</v>
      </c>
      <c r="F127" s="7" t="s">
        <v>27</v>
      </c>
      <c r="G127" t="str">
        <f t="shared" si="6"/>
        <v>植树任务</v>
      </c>
      <c r="H127" s="7" t="str">
        <f t="shared" si="3"/>
        <v>["植树任务"]</v>
      </c>
      <c r="I127" s="13">
        <v>5</v>
      </c>
      <c r="J127" s="7">
        <v>49</v>
      </c>
      <c r="K127" t="str">
        <f t="shared" si="4"/>
        <v>植树任务</v>
      </c>
      <c r="L127">
        <v>55</v>
      </c>
    </row>
    <row r="128" spans="2:12">
      <c r="B128">
        <v>150014</v>
      </c>
      <c r="C128" t="s">
        <v>326</v>
      </c>
      <c r="D128" s="7" t="s">
        <v>327</v>
      </c>
      <c r="E128" s="12" t="s">
        <v>328</v>
      </c>
      <c r="F128" s="7" t="s">
        <v>27</v>
      </c>
      <c r="G128" t="str">
        <f t="shared" si="6"/>
        <v>植树礼包</v>
      </c>
      <c r="H128" s="7" t="str">
        <f t="shared" si="3"/>
        <v>["植树礼包"]</v>
      </c>
      <c r="I128" s="13">
        <v>2</v>
      </c>
      <c r="J128" s="7">
        <v>49</v>
      </c>
      <c r="K128" t="str">
        <f t="shared" si="4"/>
        <v>植树礼包</v>
      </c>
      <c r="L128">
        <v>14</v>
      </c>
    </row>
    <row r="129" spans="2:12">
      <c r="B129">
        <v>140047</v>
      </c>
      <c r="C129" t="s">
        <v>329</v>
      </c>
      <c r="D129" s="7" t="s">
        <v>330</v>
      </c>
      <c r="E129" s="12" t="s">
        <v>331</v>
      </c>
      <c r="F129" s="7" t="s">
        <v>27</v>
      </c>
      <c r="G129" t="str">
        <f t="shared" si="6"/>
        <v>植树战令</v>
      </c>
      <c r="H129" s="7" t="str">
        <f t="shared" si="3"/>
        <v>["植树战令"]</v>
      </c>
      <c r="I129" s="13">
        <v>3</v>
      </c>
      <c r="J129" s="7">
        <v>49</v>
      </c>
      <c r="K129" t="str">
        <f t="shared" si="4"/>
        <v>植树战令</v>
      </c>
      <c r="L129">
        <v>47</v>
      </c>
    </row>
    <row r="130" spans="2:12">
      <c r="B130">
        <v>20058</v>
      </c>
      <c r="C130" t="s">
        <v>332</v>
      </c>
      <c r="D130" s="7" t="s">
        <v>333</v>
      </c>
      <c r="E130" s="12" t="s">
        <v>318</v>
      </c>
      <c r="F130" s="7" t="s">
        <v>334</v>
      </c>
      <c r="G130" t="str">
        <f t="shared" si="6"/>
        <v>植树商店</v>
      </c>
      <c r="H130" s="7" t="str">
        <f t="shared" si="3"/>
        <v>["植树商店"]</v>
      </c>
      <c r="I130" s="13">
        <v>6</v>
      </c>
      <c r="J130" s="7">
        <v>49</v>
      </c>
      <c r="K130" t="str">
        <f t="shared" si="4"/>
        <v>植树商店</v>
      </c>
      <c r="L130">
        <v>58</v>
      </c>
    </row>
    <row r="131" spans="2:12">
      <c r="B131">
        <v>10066</v>
      </c>
      <c r="C131" t="s">
        <v>335</v>
      </c>
      <c r="D131" s="7" t="s">
        <v>336</v>
      </c>
      <c r="E131" s="12" t="s">
        <v>337</v>
      </c>
      <c r="F131" s="7" t="s">
        <v>334</v>
      </c>
      <c r="G131" t="str">
        <f t="shared" ref="G131:G137" si="7">C131</f>
        <v>钻石达标</v>
      </c>
      <c r="H131" s="7" t="str">
        <f t="shared" si="3"/>
        <v>["钻石达标"]</v>
      </c>
      <c r="I131" s="13">
        <v>1</v>
      </c>
      <c r="J131" s="7">
        <v>52</v>
      </c>
      <c r="K131" t="str">
        <f t="shared" si="4"/>
        <v>钻石达标</v>
      </c>
      <c r="L131">
        <v>66</v>
      </c>
    </row>
    <row r="132" spans="2:12">
      <c r="B132">
        <v>160014</v>
      </c>
      <c r="C132" t="s">
        <v>338</v>
      </c>
      <c r="D132" s="7" t="s">
        <v>339</v>
      </c>
      <c r="E132" s="12" t="s">
        <v>340</v>
      </c>
      <c r="F132" s="7" t="s">
        <v>334</v>
      </c>
      <c r="G132" t="str">
        <f t="shared" si="7"/>
        <v>钻石礼包</v>
      </c>
      <c r="H132" s="7" t="str">
        <f t="shared" si="3"/>
        <v>["钻石礼包"]</v>
      </c>
      <c r="I132" s="13">
        <v>2</v>
      </c>
      <c r="J132" s="7">
        <v>52</v>
      </c>
      <c r="K132" t="str">
        <f t="shared" si="4"/>
        <v>钻石礼包</v>
      </c>
      <c r="L132">
        <v>14</v>
      </c>
    </row>
    <row r="133" spans="2:12">
      <c r="B133">
        <v>20066</v>
      </c>
      <c r="C133" t="s">
        <v>341</v>
      </c>
      <c r="D133" s="7" t="s">
        <v>342</v>
      </c>
      <c r="E133" s="12" t="s">
        <v>298</v>
      </c>
      <c r="F133" s="7" t="s">
        <v>334</v>
      </c>
      <c r="G133" t="str">
        <f t="shared" si="7"/>
        <v>召唤达标</v>
      </c>
      <c r="H133" s="7" t="str">
        <f t="shared" si="3"/>
        <v>["召唤达标"]</v>
      </c>
      <c r="I133" s="13">
        <v>1</v>
      </c>
      <c r="J133" s="7">
        <v>53</v>
      </c>
      <c r="K133" t="str">
        <f t="shared" si="4"/>
        <v>召唤达标</v>
      </c>
      <c r="L133">
        <v>66</v>
      </c>
    </row>
    <row r="134" spans="2:12">
      <c r="B134">
        <v>170014</v>
      </c>
      <c r="C134" t="s">
        <v>343</v>
      </c>
      <c r="D134" s="7" t="s">
        <v>344</v>
      </c>
      <c r="E134" s="12" t="s">
        <v>345</v>
      </c>
      <c r="F134" s="7" t="s">
        <v>334</v>
      </c>
      <c r="G134" t="str">
        <f t="shared" si="7"/>
        <v>召唤礼包</v>
      </c>
      <c r="H134" s="7" t="str">
        <f t="shared" si="3"/>
        <v>["召唤礼包"]</v>
      </c>
      <c r="I134" s="13">
        <v>2</v>
      </c>
      <c r="J134" s="7">
        <v>53</v>
      </c>
      <c r="K134" t="str">
        <f t="shared" si="4"/>
        <v>召唤礼包</v>
      </c>
      <c r="L134">
        <v>14</v>
      </c>
    </row>
    <row r="135" spans="2:12">
      <c r="B135">
        <v>68</v>
      </c>
      <c r="C135" t="s">
        <v>346</v>
      </c>
      <c r="D135" s="7" t="s">
        <v>320</v>
      </c>
      <c r="E135" s="12" t="s">
        <v>318</v>
      </c>
      <c r="F135" s="7" t="s">
        <v>27</v>
      </c>
      <c r="G135" t="str">
        <f t="shared" si="7"/>
        <v>组队活动</v>
      </c>
      <c r="H135" s="7" t="str">
        <f t="shared" si="3"/>
        <v>["组队活动"]</v>
      </c>
      <c r="I135" s="13">
        <v>1</v>
      </c>
      <c r="J135" s="7">
        <v>54</v>
      </c>
      <c r="K135" t="str">
        <f t="shared" si="4"/>
        <v>组队活动</v>
      </c>
      <c r="L135">
        <v>68</v>
      </c>
    </row>
    <row r="136" spans="2:12">
      <c r="B136">
        <v>10068</v>
      </c>
      <c r="C136" t="s">
        <v>346</v>
      </c>
      <c r="D136" s="7" t="s">
        <v>320</v>
      </c>
      <c r="E136" s="12" t="s">
        <v>318</v>
      </c>
      <c r="F136" s="7" t="s">
        <v>27</v>
      </c>
      <c r="G136" t="str">
        <f t="shared" si="7"/>
        <v>组队活动</v>
      </c>
      <c r="H136" s="7" t="str">
        <f t="shared" si="3"/>
        <v>["组队活动"]</v>
      </c>
      <c r="I136" s="13">
        <v>1</v>
      </c>
      <c r="J136" s="7">
        <v>54</v>
      </c>
      <c r="K136" t="str">
        <f t="shared" si="4"/>
        <v>组队活动</v>
      </c>
      <c r="L136">
        <v>68</v>
      </c>
    </row>
    <row r="137" spans="2:12">
      <c r="B137">
        <v>20068</v>
      </c>
      <c r="C137" t="s">
        <v>346</v>
      </c>
      <c r="D137" s="7" t="s">
        <v>320</v>
      </c>
      <c r="E137" s="12" t="s">
        <v>318</v>
      </c>
      <c r="F137" s="7" t="s">
        <v>27</v>
      </c>
      <c r="G137" t="str">
        <f t="shared" si="7"/>
        <v>组队活动</v>
      </c>
      <c r="H137" s="7" t="str">
        <f t="shared" si="3"/>
        <v>["组队活动"]</v>
      </c>
      <c r="I137" s="13">
        <v>1</v>
      </c>
      <c r="J137" s="7">
        <v>54</v>
      </c>
      <c r="K137" t="str">
        <f t="shared" si="4"/>
        <v>组队活动</v>
      </c>
      <c r="L137">
        <v>68</v>
      </c>
    </row>
    <row r="138" spans="2:12">
      <c r="B138">
        <v>69</v>
      </c>
      <c r="C138" t="s">
        <v>347</v>
      </c>
      <c r="D138" s="7" t="s">
        <v>348</v>
      </c>
      <c r="E138" s="12" t="s">
        <v>349</v>
      </c>
      <c r="F138" s="7" t="s">
        <v>27</v>
      </c>
      <c r="G138" t="str">
        <f t="shared" ref="G138:G176" si="8">C138</f>
        <v>转轮祈愿</v>
      </c>
      <c r="H138" s="7" t="str">
        <f t="shared" si="3"/>
        <v>["转轮祈愿"]</v>
      </c>
      <c r="I138" s="13">
        <v>1</v>
      </c>
      <c r="J138" s="7">
        <v>55</v>
      </c>
      <c r="K138" t="str">
        <f t="shared" si="4"/>
        <v>转轮祈愿</v>
      </c>
      <c r="L138">
        <v>69</v>
      </c>
    </row>
    <row r="139" spans="2:12">
      <c r="B139">
        <v>30066</v>
      </c>
      <c r="C139" t="s">
        <v>350</v>
      </c>
      <c r="D139" s="7" t="s">
        <v>351</v>
      </c>
      <c r="E139" s="12" t="s">
        <v>349</v>
      </c>
      <c r="F139" s="7" t="s">
        <v>334</v>
      </c>
      <c r="G139" t="str">
        <f t="shared" si="8"/>
        <v>转盘达标</v>
      </c>
      <c r="H139" s="7" t="str">
        <f t="shared" si="3"/>
        <v>["转盘达标"]</v>
      </c>
      <c r="I139" s="13">
        <v>2</v>
      </c>
      <c r="J139" s="7">
        <v>57</v>
      </c>
      <c r="K139" t="str">
        <f t="shared" si="4"/>
        <v>转盘达标</v>
      </c>
      <c r="L139">
        <v>66</v>
      </c>
    </row>
    <row r="140" spans="2:12">
      <c r="B140">
        <v>180014</v>
      </c>
      <c r="C140" t="s">
        <v>352</v>
      </c>
      <c r="D140" s="7" t="s">
        <v>353</v>
      </c>
      <c r="E140" s="12" t="s">
        <v>354</v>
      </c>
      <c r="F140" s="7" t="s">
        <v>334</v>
      </c>
      <c r="G140" t="str">
        <f t="shared" si="8"/>
        <v>祈福礼包</v>
      </c>
      <c r="H140" s="7" t="str">
        <f t="shared" si="3"/>
        <v>["祈福礼包"]</v>
      </c>
      <c r="I140" s="13">
        <v>1</v>
      </c>
      <c r="J140" s="7">
        <v>57</v>
      </c>
      <c r="K140" t="str">
        <f t="shared" si="4"/>
        <v>祈福礼包</v>
      </c>
      <c r="L140">
        <v>14</v>
      </c>
    </row>
    <row r="141" spans="2:12">
      <c r="B141">
        <v>20049</v>
      </c>
      <c r="C141" t="s">
        <v>178</v>
      </c>
      <c r="D141" s="7" t="s">
        <v>179</v>
      </c>
      <c r="E141" s="12" t="s">
        <v>180</v>
      </c>
      <c r="F141" s="7" t="s">
        <v>181</v>
      </c>
      <c r="G141" t="str">
        <f t="shared" si="8"/>
        <v>虚空破晓</v>
      </c>
      <c r="H141" s="7" t="str">
        <f t="shared" si="3"/>
        <v>["虚空破晓"]</v>
      </c>
      <c r="I141" s="13">
        <v>1</v>
      </c>
      <c r="J141" s="7">
        <v>56</v>
      </c>
      <c r="K141" t="str">
        <f t="shared" si="4"/>
        <v>虚空破晓</v>
      </c>
      <c r="L141" s="7">
        <v>49</v>
      </c>
    </row>
    <row r="142" spans="2:12">
      <c r="B142">
        <v>150047</v>
      </c>
      <c r="C142" t="s">
        <v>182</v>
      </c>
      <c r="D142" s="7" t="s">
        <v>183</v>
      </c>
      <c r="E142" s="12" t="s">
        <v>184</v>
      </c>
      <c r="F142" s="7" t="s">
        <v>27</v>
      </c>
      <c r="G142" t="str">
        <f t="shared" si="8"/>
        <v>虚空战令</v>
      </c>
      <c r="H142" s="7" t="str">
        <f t="shared" si="3"/>
        <v>["虚空战令"]</v>
      </c>
      <c r="I142" s="13">
        <v>2</v>
      </c>
      <c r="J142" s="7">
        <v>56</v>
      </c>
      <c r="K142" t="str">
        <f t="shared" si="4"/>
        <v>虚空战令</v>
      </c>
      <c r="L142" s="7">
        <v>47</v>
      </c>
    </row>
    <row r="143" spans="2:12">
      <c r="B143">
        <v>190014</v>
      </c>
      <c r="C143" t="s">
        <v>185</v>
      </c>
      <c r="D143" s="7" t="s">
        <v>186</v>
      </c>
      <c r="E143" s="12" t="s">
        <v>187</v>
      </c>
      <c r="F143" s="7" t="s">
        <v>27</v>
      </c>
      <c r="G143" t="str">
        <f t="shared" si="8"/>
        <v>虚空礼包</v>
      </c>
      <c r="H143" s="7" t="str">
        <f t="shared" si="3"/>
        <v>["虚空礼包"]</v>
      </c>
      <c r="I143" s="13">
        <v>3</v>
      </c>
      <c r="J143" s="7">
        <v>56</v>
      </c>
      <c r="K143" t="str">
        <f t="shared" si="4"/>
        <v>虚空礼包</v>
      </c>
      <c r="L143" s="7">
        <v>14</v>
      </c>
    </row>
    <row r="144" spans="2:12">
      <c r="B144">
        <v>72</v>
      </c>
      <c r="C144" t="s">
        <v>355</v>
      </c>
      <c r="D144" s="7" t="s">
        <v>356</v>
      </c>
      <c r="E144" s="12" t="s">
        <v>187</v>
      </c>
      <c r="F144" s="7" t="s">
        <v>27</v>
      </c>
      <c r="G144" t="str">
        <f t="shared" si="8"/>
        <v>苍冥龙甲</v>
      </c>
      <c r="H144" s="7" t="str">
        <f t="shared" si="3"/>
        <v>["苍冥龙甲"]</v>
      </c>
      <c r="I144" s="13">
        <v>1</v>
      </c>
      <c r="J144" s="7">
        <v>58</v>
      </c>
      <c r="K144" t="str">
        <f t="shared" si="4"/>
        <v>苍冥龙甲</v>
      </c>
      <c r="L144" s="7">
        <v>72</v>
      </c>
    </row>
    <row r="145" spans="2:12">
      <c r="B145">
        <v>70</v>
      </c>
      <c r="C145" t="s">
        <v>357</v>
      </c>
      <c r="D145" s="7" t="s">
        <v>186</v>
      </c>
      <c r="E145" s="12" t="s">
        <v>187</v>
      </c>
      <c r="F145" s="7" t="s">
        <v>27</v>
      </c>
      <c r="G145" t="str">
        <f t="shared" si="8"/>
        <v>手机绑定</v>
      </c>
      <c r="H145" s="7" t="str">
        <f t="shared" si="3"/>
        <v>["手机绑定"]</v>
      </c>
      <c r="I145" s="13">
        <v>1</v>
      </c>
      <c r="J145" s="7">
        <v>3</v>
      </c>
      <c r="K145" t="str">
        <f t="shared" si="4"/>
        <v>手机绑定</v>
      </c>
      <c r="L145" s="7">
        <v>70</v>
      </c>
    </row>
    <row r="146" spans="2:12">
      <c r="B146">
        <v>71</v>
      </c>
      <c r="C146" t="s">
        <v>358</v>
      </c>
      <c r="D146" s="7" t="s">
        <v>186</v>
      </c>
      <c r="E146" s="12" t="s">
        <v>187</v>
      </c>
      <c r="F146" s="7" t="s">
        <v>27</v>
      </c>
      <c r="G146" t="str">
        <f t="shared" si="8"/>
        <v>添加桌面</v>
      </c>
      <c r="H146" s="7" t="str">
        <f t="shared" si="3"/>
        <v>["添加桌面"]</v>
      </c>
      <c r="I146" s="13">
        <v>1</v>
      </c>
      <c r="J146" s="7">
        <v>4</v>
      </c>
      <c r="K146" t="str">
        <f t="shared" si="4"/>
        <v>添加桌面</v>
      </c>
      <c r="L146" s="7">
        <v>71</v>
      </c>
    </row>
    <row r="147" spans="2:12">
      <c r="B147">
        <v>10071</v>
      </c>
      <c r="C147" t="s">
        <v>359</v>
      </c>
      <c r="D147" s="7" t="s">
        <v>186</v>
      </c>
      <c r="E147" s="12" t="s">
        <v>187</v>
      </c>
      <c r="F147" s="7" t="s">
        <v>27</v>
      </c>
      <c r="G147" t="str">
        <f t="shared" si="8"/>
        <v>侧边栏添加</v>
      </c>
      <c r="H147" s="7" t="str">
        <f t="shared" si="3"/>
        <v>["侧边栏添加"]</v>
      </c>
      <c r="I147" s="13">
        <v>1</v>
      </c>
      <c r="J147" s="7">
        <v>7</v>
      </c>
      <c r="K147" t="str">
        <f t="shared" si="4"/>
        <v>侧边栏添加</v>
      </c>
      <c r="L147" s="7">
        <v>71</v>
      </c>
    </row>
    <row r="148" spans="2:12">
      <c r="B148">
        <v>73</v>
      </c>
      <c r="C148" t="s">
        <v>360</v>
      </c>
      <c r="D148" s="7" t="s">
        <v>186</v>
      </c>
      <c r="E148" s="12" t="s">
        <v>187</v>
      </c>
      <c r="F148" s="7" t="s">
        <v>27</v>
      </c>
      <c r="G148" t="str">
        <f t="shared" si="8"/>
        <v>联系客服</v>
      </c>
      <c r="H148" s="7" t="str">
        <f t="shared" si="3"/>
        <v>["联系客服"]</v>
      </c>
      <c r="I148" s="13">
        <v>1</v>
      </c>
      <c r="J148" s="7">
        <v>59</v>
      </c>
      <c r="K148" t="str">
        <f t="shared" si="4"/>
        <v>联系客服</v>
      </c>
      <c r="L148" s="7">
        <v>73</v>
      </c>
    </row>
    <row r="149" spans="2:12">
      <c r="B149">
        <v>74</v>
      </c>
      <c r="C149" t="s">
        <v>361</v>
      </c>
      <c r="D149" s="7" t="s">
        <v>186</v>
      </c>
      <c r="E149" s="12" t="s">
        <v>187</v>
      </c>
      <c r="F149" s="7" t="s">
        <v>362</v>
      </c>
      <c r="G149" t="str">
        <f t="shared" si="8"/>
        <v>金卡商城</v>
      </c>
      <c r="H149" s="7" t="str">
        <f t="shared" si="3"/>
        <v>["金卡商城"]</v>
      </c>
      <c r="I149" s="13">
        <v>1</v>
      </c>
      <c r="J149" s="7">
        <v>10</v>
      </c>
      <c r="K149" t="str">
        <f t="shared" si="4"/>
        <v>金卡商城</v>
      </c>
      <c r="L149" s="7">
        <v>74</v>
      </c>
    </row>
    <row r="150" spans="2:12">
      <c r="B150">
        <v>75</v>
      </c>
      <c r="C150" t="s">
        <v>363</v>
      </c>
      <c r="D150" s="7" t="s">
        <v>364</v>
      </c>
      <c r="E150" s="12" t="s">
        <v>187</v>
      </c>
      <c r="F150" s="7" t="s">
        <v>27</v>
      </c>
      <c r="G150" t="str">
        <f t="shared" si="8"/>
        <v>魔镜秘宝</v>
      </c>
      <c r="H150" s="7" t="str">
        <f t="shared" si="3"/>
        <v>["魔镜秘宝"]</v>
      </c>
      <c r="I150" s="13">
        <v>1</v>
      </c>
      <c r="J150" s="7">
        <v>61</v>
      </c>
      <c r="K150" t="str">
        <f t="shared" si="4"/>
        <v>魔镜秘宝</v>
      </c>
      <c r="L150" s="7">
        <v>75</v>
      </c>
    </row>
    <row r="151" spans="2:12">
      <c r="B151">
        <v>200014</v>
      </c>
      <c r="C151" t="s">
        <v>365</v>
      </c>
      <c r="D151" s="7" t="s">
        <v>366</v>
      </c>
      <c r="E151" s="12" t="s">
        <v>367</v>
      </c>
      <c r="F151" s="7" t="s">
        <v>27</v>
      </c>
      <c r="G151" t="str">
        <f t="shared" si="8"/>
        <v>魔镜礼包</v>
      </c>
      <c r="H151" s="7" t="str">
        <f t="shared" si="3"/>
        <v>["魔镜礼包"]</v>
      </c>
      <c r="I151" s="13">
        <v>2</v>
      </c>
      <c r="J151" s="7">
        <v>61</v>
      </c>
      <c r="K151" t="str">
        <f t="shared" si="4"/>
        <v>魔镜礼包</v>
      </c>
      <c r="L151">
        <v>14</v>
      </c>
    </row>
    <row r="152" spans="2:12">
      <c r="B152">
        <v>70055</v>
      </c>
      <c r="C152" t="s">
        <v>368</v>
      </c>
      <c r="D152" s="7" t="s">
        <v>369</v>
      </c>
      <c r="E152" s="12" t="s">
        <v>370</v>
      </c>
      <c r="F152" s="7" t="s">
        <v>27</v>
      </c>
      <c r="G152" t="str">
        <f t="shared" si="8"/>
        <v>魔镜任务</v>
      </c>
      <c r="H152" s="7" t="str">
        <f t="shared" si="3"/>
        <v>["魔镜任务"]</v>
      </c>
      <c r="I152" s="13">
        <v>4</v>
      </c>
      <c r="J152" s="7">
        <v>61</v>
      </c>
      <c r="K152" t="str">
        <f t="shared" si="4"/>
        <v>魔镜任务</v>
      </c>
      <c r="L152">
        <v>55</v>
      </c>
    </row>
    <row r="153" spans="2:12">
      <c r="B153">
        <v>160047</v>
      </c>
      <c r="C153" t="s">
        <v>371</v>
      </c>
      <c r="D153" s="7" t="s">
        <v>372</v>
      </c>
      <c r="E153" s="12" t="s">
        <v>373</v>
      </c>
      <c r="F153" s="7" t="s">
        <v>27</v>
      </c>
      <c r="G153" t="str">
        <f t="shared" si="8"/>
        <v>魔镜战令</v>
      </c>
      <c r="H153" s="7" t="str">
        <f t="shared" si="3"/>
        <v>["魔镜战令"]</v>
      </c>
      <c r="I153" s="13">
        <v>3</v>
      </c>
      <c r="J153" s="7">
        <v>61</v>
      </c>
      <c r="K153" t="str">
        <f t="shared" si="4"/>
        <v>魔镜战令</v>
      </c>
      <c r="L153">
        <v>47</v>
      </c>
    </row>
    <row r="154" spans="2:12">
      <c r="B154">
        <v>30058</v>
      </c>
      <c r="C154" t="s">
        <v>374</v>
      </c>
      <c r="D154" s="7" t="s">
        <v>375</v>
      </c>
      <c r="E154" s="12" t="s">
        <v>318</v>
      </c>
      <c r="F154" s="7" t="s">
        <v>376</v>
      </c>
      <c r="G154" t="str">
        <f t="shared" si="8"/>
        <v>魔镜商店</v>
      </c>
      <c r="H154" s="7" t="str">
        <f t="shared" si="3"/>
        <v>["魔镜商店"]</v>
      </c>
      <c r="I154" s="13">
        <v>5</v>
      </c>
      <c r="J154" s="7">
        <v>61</v>
      </c>
      <c r="K154" t="str">
        <f t="shared" si="4"/>
        <v>魔镜商店</v>
      </c>
      <c r="L154">
        <v>58</v>
      </c>
    </row>
    <row r="155" spans="2:12">
      <c r="B155">
        <v>76</v>
      </c>
      <c r="C155" t="s">
        <v>377</v>
      </c>
      <c r="D155" s="7" t="s">
        <v>378</v>
      </c>
      <c r="E155" s="12" t="s">
        <v>187</v>
      </c>
      <c r="F155" s="7" t="s">
        <v>27</v>
      </c>
      <c r="G155" t="str">
        <f t="shared" si="8"/>
        <v>绿野奇遇</v>
      </c>
      <c r="H155" s="7" t="str">
        <f t="shared" si="3"/>
        <v>["绿野奇遇"]</v>
      </c>
      <c r="I155" s="13">
        <v>1</v>
      </c>
      <c r="J155" s="7">
        <v>63</v>
      </c>
      <c r="K155" t="str">
        <f t="shared" si="4"/>
        <v>绿野奇遇</v>
      </c>
      <c r="L155" s="7">
        <v>76</v>
      </c>
    </row>
    <row r="156" spans="2:12">
      <c r="B156">
        <v>210014</v>
      </c>
      <c r="C156" t="s">
        <v>379</v>
      </c>
      <c r="D156" s="7" t="s">
        <v>380</v>
      </c>
      <c r="E156" s="12" t="s">
        <v>381</v>
      </c>
      <c r="F156" s="7" t="s">
        <v>27</v>
      </c>
      <c r="G156" t="str">
        <f t="shared" si="8"/>
        <v>奇遇礼包</v>
      </c>
      <c r="H156" s="7" t="str">
        <f t="shared" si="3"/>
        <v>["奇遇礼包"]</v>
      </c>
      <c r="I156" s="13">
        <v>2</v>
      </c>
      <c r="J156" s="7">
        <v>63</v>
      </c>
      <c r="K156" t="str">
        <f t="shared" si="4"/>
        <v>奇遇礼包</v>
      </c>
      <c r="L156">
        <v>14</v>
      </c>
    </row>
    <row r="157" spans="2:12">
      <c r="B157">
        <v>80055</v>
      </c>
      <c r="C157" t="s">
        <v>382</v>
      </c>
      <c r="D157" s="7" t="s">
        <v>383</v>
      </c>
      <c r="E157" s="12" t="s">
        <v>384</v>
      </c>
      <c r="F157" s="7" t="s">
        <v>27</v>
      </c>
      <c r="G157" t="str">
        <f t="shared" si="8"/>
        <v>奇遇任务</v>
      </c>
      <c r="H157" s="7" t="str">
        <f t="shared" si="3"/>
        <v>["奇遇任务"]</v>
      </c>
      <c r="I157" s="13">
        <v>4</v>
      </c>
      <c r="J157" s="7">
        <v>63</v>
      </c>
      <c r="K157" t="str">
        <f t="shared" si="4"/>
        <v>奇遇任务</v>
      </c>
      <c r="L157">
        <v>55</v>
      </c>
    </row>
    <row r="158" spans="2:12">
      <c r="B158">
        <v>170047</v>
      </c>
      <c r="C158" t="s">
        <v>385</v>
      </c>
      <c r="D158" s="7" t="s">
        <v>386</v>
      </c>
      <c r="E158" s="12" t="s">
        <v>387</v>
      </c>
      <c r="F158" s="7" t="s">
        <v>27</v>
      </c>
      <c r="G158" t="str">
        <f t="shared" si="8"/>
        <v>奇遇战令</v>
      </c>
      <c r="H158" s="7" t="str">
        <f t="shared" si="3"/>
        <v>["奇遇战令"]</v>
      </c>
      <c r="I158" s="13">
        <v>3</v>
      </c>
      <c r="J158" s="7">
        <v>63</v>
      </c>
      <c r="K158" t="str">
        <f t="shared" si="4"/>
        <v>奇遇战令</v>
      </c>
      <c r="L158">
        <v>47</v>
      </c>
    </row>
    <row r="159" spans="2:12">
      <c r="B159">
        <v>40058</v>
      </c>
      <c r="C159" t="s">
        <v>388</v>
      </c>
      <c r="D159" s="7" t="s">
        <v>389</v>
      </c>
      <c r="E159" s="12" t="s">
        <v>318</v>
      </c>
      <c r="F159" s="7" t="s">
        <v>390</v>
      </c>
      <c r="G159" t="str">
        <f t="shared" si="8"/>
        <v>奇遇商城</v>
      </c>
      <c r="H159" s="7" t="str">
        <f t="shared" si="3"/>
        <v>["奇遇商城"]</v>
      </c>
      <c r="I159" s="13">
        <v>5</v>
      </c>
      <c r="J159" s="7">
        <v>63</v>
      </c>
      <c r="K159" t="str">
        <f t="shared" si="4"/>
        <v>奇遇商城</v>
      </c>
      <c r="L159">
        <v>58</v>
      </c>
    </row>
    <row r="160" spans="2:12">
      <c r="B160">
        <v>10072</v>
      </c>
      <c r="C160" t="s">
        <v>391</v>
      </c>
      <c r="D160" s="7" t="s">
        <v>392</v>
      </c>
      <c r="E160" s="12" t="s">
        <v>187</v>
      </c>
      <c r="F160" s="7" t="s">
        <v>27</v>
      </c>
      <c r="G160" t="str">
        <f t="shared" si="8"/>
        <v>燃魂圣甲</v>
      </c>
      <c r="H160" s="7" t="str">
        <f t="shared" si="3"/>
        <v>["燃魂圣甲"]</v>
      </c>
      <c r="I160" s="13">
        <v>1</v>
      </c>
      <c r="J160" s="7">
        <v>64</v>
      </c>
      <c r="K160" t="str">
        <f t="shared" si="4"/>
        <v>燃魂圣甲</v>
      </c>
      <c r="L160" s="7">
        <v>72</v>
      </c>
    </row>
    <row r="161" spans="2:12">
      <c r="B161">
        <v>77</v>
      </c>
      <c r="C161" t="s">
        <v>393</v>
      </c>
      <c r="D161" s="7" t="s">
        <v>394</v>
      </c>
      <c r="E161" s="12" t="s">
        <v>187</v>
      </c>
      <c r="F161" s="7" t="s">
        <v>27</v>
      </c>
      <c r="G161" t="str">
        <f t="shared" si="8"/>
        <v>美食物语</v>
      </c>
      <c r="H161" s="7" t="str">
        <f t="shared" si="3"/>
        <v>["美食物语"]</v>
      </c>
      <c r="I161" s="13">
        <v>1</v>
      </c>
      <c r="J161" s="7">
        <v>65</v>
      </c>
      <c r="K161" t="str">
        <f t="shared" si="4"/>
        <v>美食物语</v>
      </c>
      <c r="L161" s="7">
        <v>77</v>
      </c>
    </row>
    <row r="162" spans="2:12">
      <c r="B162">
        <v>220014</v>
      </c>
      <c r="C162" t="s">
        <v>395</v>
      </c>
      <c r="D162" s="7" t="s">
        <v>396</v>
      </c>
      <c r="E162" s="12" t="s">
        <v>397</v>
      </c>
      <c r="F162" s="7" t="s">
        <v>27</v>
      </c>
      <c r="G162" t="str">
        <f t="shared" si="8"/>
        <v>美食礼包</v>
      </c>
      <c r="H162" s="7" t="str">
        <f t="shared" si="3"/>
        <v>["美食礼包"]</v>
      </c>
      <c r="I162" s="13">
        <v>2</v>
      </c>
      <c r="J162" s="7">
        <v>65</v>
      </c>
      <c r="K162" t="str">
        <f t="shared" si="4"/>
        <v>美食礼包</v>
      </c>
      <c r="L162">
        <v>14</v>
      </c>
    </row>
    <row r="163" spans="2:12">
      <c r="B163">
        <v>90055</v>
      </c>
      <c r="C163" t="s">
        <v>398</v>
      </c>
      <c r="D163" s="7" t="s">
        <v>399</v>
      </c>
      <c r="E163" s="12" t="s">
        <v>400</v>
      </c>
      <c r="F163" s="7" t="s">
        <v>27</v>
      </c>
      <c r="G163" t="str">
        <f t="shared" si="8"/>
        <v>美食任务</v>
      </c>
      <c r="H163" s="7" t="str">
        <f t="shared" si="3"/>
        <v>["美食任务"]</v>
      </c>
      <c r="I163" s="13">
        <v>4</v>
      </c>
      <c r="J163" s="7">
        <v>65</v>
      </c>
      <c r="K163" t="str">
        <f t="shared" si="4"/>
        <v>美食任务</v>
      </c>
      <c r="L163">
        <v>55</v>
      </c>
    </row>
    <row r="164" spans="2:12">
      <c r="B164">
        <v>180047</v>
      </c>
      <c r="C164" t="s">
        <v>401</v>
      </c>
      <c r="D164" s="7" t="s">
        <v>402</v>
      </c>
      <c r="E164" s="12" t="s">
        <v>403</v>
      </c>
      <c r="F164" s="7" t="s">
        <v>27</v>
      </c>
      <c r="G164" t="str">
        <f t="shared" si="8"/>
        <v>美食战令</v>
      </c>
      <c r="H164" s="7" t="str">
        <f t="shared" si="3"/>
        <v>["美食战令"]</v>
      </c>
      <c r="I164" s="13">
        <v>3</v>
      </c>
      <c r="J164" s="7">
        <v>65</v>
      </c>
      <c r="K164" t="str">
        <f t="shared" si="4"/>
        <v>美食战令</v>
      </c>
      <c r="L164">
        <v>47</v>
      </c>
    </row>
    <row r="165" spans="2:12">
      <c r="B165">
        <v>50058</v>
      </c>
      <c r="C165" t="s">
        <v>404</v>
      </c>
      <c r="D165" s="7" t="s">
        <v>405</v>
      </c>
      <c r="E165" s="12" t="s">
        <v>318</v>
      </c>
      <c r="F165" s="7" t="s">
        <v>390</v>
      </c>
      <c r="G165" t="str">
        <f t="shared" si="8"/>
        <v>美食商城</v>
      </c>
      <c r="H165" s="7" t="str">
        <f t="shared" si="3"/>
        <v>["美食商城"]</v>
      </c>
      <c r="I165" s="13">
        <v>5</v>
      </c>
      <c r="J165" s="7">
        <v>65</v>
      </c>
      <c r="K165" t="str">
        <f t="shared" si="4"/>
        <v>美食商城</v>
      </c>
      <c r="L165">
        <v>58</v>
      </c>
    </row>
    <row r="166" spans="2:12">
      <c r="B166">
        <v>30049</v>
      </c>
      <c r="C166" t="s">
        <v>271</v>
      </c>
      <c r="D166" s="7" t="s">
        <v>179</v>
      </c>
      <c r="E166" s="12" t="s">
        <v>272</v>
      </c>
      <c r="F166" s="7" t="s">
        <v>273</v>
      </c>
      <c r="G166" t="str">
        <f t="shared" si="8"/>
        <v>虚空行者</v>
      </c>
      <c r="H166" s="7" t="str">
        <f t="shared" si="3"/>
        <v>["虚空行者"]</v>
      </c>
      <c r="I166" s="13">
        <v>1</v>
      </c>
      <c r="J166" s="7">
        <v>41</v>
      </c>
      <c r="K166" t="str">
        <f t="shared" si="4"/>
        <v>虚空行者</v>
      </c>
      <c r="L166">
        <v>49</v>
      </c>
    </row>
    <row r="167" spans="2:12">
      <c r="B167">
        <v>190047</v>
      </c>
      <c r="C167" t="s">
        <v>182</v>
      </c>
      <c r="D167" s="7" t="s">
        <v>183</v>
      </c>
      <c r="E167" s="12" t="s">
        <v>274</v>
      </c>
      <c r="F167" s="7" t="s">
        <v>27</v>
      </c>
      <c r="G167" t="str">
        <f t="shared" si="8"/>
        <v>虚空战令</v>
      </c>
      <c r="H167" s="7" t="str">
        <f t="shared" si="3"/>
        <v>["虚空战令"]</v>
      </c>
      <c r="I167" s="13">
        <v>2</v>
      </c>
      <c r="J167" s="7">
        <v>41</v>
      </c>
      <c r="K167" t="str">
        <f t="shared" si="4"/>
        <v>虚空战令</v>
      </c>
      <c r="L167">
        <v>47</v>
      </c>
    </row>
    <row r="168" spans="2:12">
      <c r="B168">
        <v>230014</v>
      </c>
      <c r="C168" t="s">
        <v>185</v>
      </c>
      <c r="D168" s="7" t="s">
        <v>186</v>
      </c>
      <c r="E168" s="12" t="s">
        <v>275</v>
      </c>
      <c r="F168" s="7" t="s">
        <v>27</v>
      </c>
      <c r="G168" t="str">
        <f t="shared" si="8"/>
        <v>虚空礼包</v>
      </c>
      <c r="H168" s="7" t="str">
        <f t="shared" si="3"/>
        <v>["虚空礼包"]</v>
      </c>
      <c r="I168" s="13">
        <v>3</v>
      </c>
      <c r="J168" s="7">
        <v>41</v>
      </c>
      <c r="K168" t="str">
        <f t="shared" si="4"/>
        <v>虚空礼包</v>
      </c>
      <c r="L168">
        <v>14</v>
      </c>
    </row>
    <row r="169" spans="2:12">
      <c r="B169">
        <v>78</v>
      </c>
      <c r="C169" t="s">
        <v>406</v>
      </c>
      <c r="D169" s="7" t="s">
        <v>407</v>
      </c>
      <c r="E169" s="12" t="s">
        <v>408</v>
      </c>
      <c r="F169" s="7" t="s">
        <v>27</v>
      </c>
      <c r="G169" t="str">
        <f t="shared" si="8"/>
        <v>运动会</v>
      </c>
      <c r="H169" s="7" t="str">
        <f t="shared" si="3"/>
        <v>["运动会"]</v>
      </c>
      <c r="I169" s="13">
        <v>1</v>
      </c>
      <c r="J169" s="7">
        <v>66</v>
      </c>
      <c r="K169" t="str">
        <f t="shared" si="4"/>
        <v>运动会</v>
      </c>
      <c r="L169">
        <v>78</v>
      </c>
    </row>
    <row r="170" spans="2:12">
      <c r="B170">
        <v>79</v>
      </c>
      <c r="C170" t="s">
        <v>409</v>
      </c>
      <c r="D170" s="7" t="s">
        <v>410</v>
      </c>
      <c r="E170" s="12" t="s">
        <v>408</v>
      </c>
      <c r="F170" s="7" t="s">
        <v>27</v>
      </c>
      <c r="G170" t="str">
        <f t="shared" si="8"/>
        <v>运动达标</v>
      </c>
      <c r="H170" s="7" t="str">
        <f t="shared" si="3"/>
        <v>["运动达标"]</v>
      </c>
      <c r="I170" s="13">
        <v>5</v>
      </c>
      <c r="J170" s="7">
        <v>66</v>
      </c>
      <c r="K170" t="str">
        <f t="shared" si="4"/>
        <v>运动达标</v>
      </c>
      <c r="L170">
        <v>79</v>
      </c>
    </row>
    <row r="171" spans="2:12">
      <c r="B171">
        <v>80</v>
      </c>
      <c r="C171" t="s">
        <v>411</v>
      </c>
      <c r="D171" s="7" t="s">
        <v>160</v>
      </c>
      <c r="E171" s="12" t="s">
        <v>187</v>
      </c>
      <c r="F171" s="7" t="s">
        <v>161</v>
      </c>
      <c r="G171" t="str">
        <f t="shared" si="8"/>
        <v>比赛排行</v>
      </c>
      <c r="H171" s="7" t="str">
        <f t="shared" si="3"/>
        <v>["比赛排行"]</v>
      </c>
      <c r="I171" s="13">
        <v>7</v>
      </c>
      <c r="J171" s="7">
        <v>66</v>
      </c>
      <c r="K171" t="str">
        <f t="shared" si="4"/>
        <v>比赛排行</v>
      </c>
      <c r="L171">
        <v>80</v>
      </c>
    </row>
    <row r="172" spans="2:12">
      <c r="B172">
        <v>81</v>
      </c>
      <c r="C172" t="s">
        <v>412</v>
      </c>
      <c r="D172" s="7" t="s">
        <v>413</v>
      </c>
      <c r="E172" s="12" t="s">
        <v>187</v>
      </c>
      <c r="F172" s="7" t="s">
        <v>27</v>
      </c>
      <c r="G172" t="str">
        <f t="shared" si="8"/>
        <v>跨服达标</v>
      </c>
      <c r="H172" s="7" t="str">
        <f t="shared" si="3"/>
        <v>["跨服达标"]</v>
      </c>
      <c r="I172" s="13">
        <v>6</v>
      </c>
      <c r="J172" s="7">
        <v>66</v>
      </c>
      <c r="K172" t="str">
        <f t="shared" si="4"/>
        <v>跨服达标</v>
      </c>
      <c r="L172">
        <v>81</v>
      </c>
    </row>
    <row r="173" spans="2:12">
      <c r="B173">
        <v>84</v>
      </c>
      <c r="C173" t="s">
        <v>414</v>
      </c>
      <c r="D173" s="7" t="s">
        <v>415</v>
      </c>
      <c r="E173" s="12" t="s">
        <v>187</v>
      </c>
      <c r="F173" s="7" t="s">
        <v>390</v>
      </c>
      <c r="G173" t="str">
        <f t="shared" si="8"/>
        <v>运动商店</v>
      </c>
      <c r="H173" s="7" t="str">
        <f t="shared" si="3"/>
        <v>["运动商店"]</v>
      </c>
      <c r="I173" s="13">
        <v>8</v>
      </c>
      <c r="J173" s="7">
        <v>66</v>
      </c>
      <c r="K173" t="str">
        <f t="shared" si="4"/>
        <v>运动商店</v>
      </c>
      <c r="L173">
        <v>84</v>
      </c>
    </row>
    <row r="174" spans="2:12">
      <c r="B174">
        <v>100055</v>
      </c>
      <c r="C174" t="s">
        <v>416</v>
      </c>
      <c r="D174" s="7" t="s">
        <v>417</v>
      </c>
      <c r="E174" s="12" t="s">
        <v>418</v>
      </c>
      <c r="F174" s="7" t="s">
        <v>27</v>
      </c>
      <c r="G174" t="str">
        <f t="shared" si="8"/>
        <v>运动任务</v>
      </c>
      <c r="H174" s="7" t="str">
        <f t="shared" si="3"/>
        <v>["运动任务"]</v>
      </c>
      <c r="I174" s="13">
        <v>2</v>
      </c>
      <c r="J174" s="7">
        <v>66</v>
      </c>
      <c r="K174" t="str">
        <f t="shared" si="4"/>
        <v>运动任务</v>
      </c>
      <c r="L174">
        <v>55</v>
      </c>
    </row>
    <row r="175" spans="2:12">
      <c r="B175">
        <v>200047</v>
      </c>
      <c r="C175" t="s">
        <v>419</v>
      </c>
      <c r="D175" s="7" t="s">
        <v>420</v>
      </c>
      <c r="E175" s="12" t="s">
        <v>421</v>
      </c>
      <c r="F175" s="7" t="s">
        <v>27</v>
      </c>
      <c r="G175" t="str">
        <f t="shared" si="8"/>
        <v>运动战令</v>
      </c>
      <c r="H175" s="7" t="str">
        <f t="shared" si="3"/>
        <v>["运动战令"]</v>
      </c>
      <c r="I175" s="13">
        <v>4</v>
      </c>
      <c r="J175" s="7">
        <v>66</v>
      </c>
      <c r="K175" t="str">
        <f t="shared" si="4"/>
        <v>运动战令</v>
      </c>
      <c r="L175">
        <v>47</v>
      </c>
    </row>
    <row r="176" spans="2:12">
      <c r="B176">
        <v>240014</v>
      </c>
      <c r="C176" t="s">
        <v>422</v>
      </c>
      <c r="D176" s="7" t="s">
        <v>423</v>
      </c>
      <c r="E176" s="12" t="s">
        <v>424</v>
      </c>
      <c r="F176" s="7" t="s">
        <v>27</v>
      </c>
      <c r="G176" t="str">
        <f t="shared" si="8"/>
        <v>运动礼包</v>
      </c>
      <c r="H176" s="7" t="str">
        <f t="shared" si="3"/>
        <v>["运动礼包"]</v>
      </c>
      <c r="I176" s="13">
        <v>3</v>
      </c>
      <c r="J176" s="7">
        <v>66</v>
      </c>
      <c r="K176" t="str">
        <f t="shared" si="4"/>
        <v>运动礼包</v>
      </c>
      <c r="L176">
        <v>14</v>
      </c>
    </row>
    <row r="177" spans="2:12">
      <c r="B177">
        <v>82</v>
      </c>
      <c r="C177" t="s">
        <v>425</v>
      </c>
      <c r="D177" s="15" t="s">
        <v>394</v>
      </c>
      <c r="E177" s="16" t="s">
        <v>187</v>
      </c>
      <c r="F177" s="7" t="s">
        <v>27</v>
      </c>
      <c r="G177" t="str">
        <f t="shared" ref="G177:G182" si="9">C177</f>
        <v>订阅</v>
      </c>
      <c r="H177" s="7" t="str">
        <f t="shared" ref="H177:H182" si="10">"["&amp;$M$51&amp;G177&amp;$M$51&amp;"]"</f>
        <v>["订阅"]</v>
      </c>
      <c r="I177" s="13">
        <v>1</v>
      </c>
      <c r="J177" s="7">
        <v>67</v>
      </c>
      <c r="K177" t="str">
        <f t="shared" ref="K177:K182" si="11">G177</f>
        <v>订阅</v>
      </c>
      <c r="L177">
        <v>82</v>
      </c>
    </row>
    <row r="178" spans="2:12">
      <c r="B178">
        <v>40049</v>
      </c>
      <c r="C178" t="s">
        <v>426</v>
      </c>
      <c r="D178" s="7" t="s">
        <v>179</v>
      </c>
      <c r="E178" s="12" t="s">
        <v>427</v>
      </c>
      <c r="F178" s="7" t="s">
        <v>273</v>
      </c>
      <c r="G178" t="str">
        <f t="shared" si="9"/>
        <v>虚空使徒</v>
      </c>
      <c r="H178" s="7" t="str">
        <f t="shared" si="10"/>
        <v>["虚空使徒"]</v>
      </c>
      <c r="I178" s="13">
        <v>1</v>
      </c>
      <c r="J178" s="7">
        <v>68</v>
      </c>
      <c r="K178" t="str">
        <f t="shared" si="11"/>
        <v>虚空使徒</v>
      </c>
      <c r="L178">
        <v>49</v>
      </c>
    </row>
    <row r="179" spans="2:12">
      <c r="B179">
        <v>210047</v>
      </c>
      <c r="C179" t="s">
        <v>182</v>
      </c>
      <c r="D179" s="7" t="s">
        <v>183</v>
      </c>
      <c r="E179" s="12" t="s">
        <v>428</v>
      </c>
      <c r="F179" s="7" t="s">
        <v>27</v>
      </c>
      <c r="G179" t="str">
        <f t="shared" si="9"/>
        <v>虚空战令</v>
      </c>
      <c r="H179" s="7" t="str">
        <f t="shared" si="10"/>
        <v>["虚空战令"]</v>
      </c>
      <c r="I179" s="13">
        <v>2</v>
      </c>
      <c r="J179" s="7">
        <v>68</v>
      </c>
      <c r="K179" t="str">
        <f t="shared" si="11"/>
        <v>虚空战令</v>
      </c>
      <c r="L179">
        <v>47</v>
      </c>
    </row>
    <row r="180" spans="2:12">
      <c r="B180">
        <v>250014</v>
      </c>
      <c r="C180" t="s">
        <v>185</v>
      </c>
      <c r="D180" s="7" t="s">
        <v>186</v>
      </c>
      <c r="E180" s="12" t="s">
        <v>429</v>
      </c>
      <c r="F180" s="7" t="s">
        <v>27</v>
      </c>
      <c r="G180" t="str">
        <f t="shared" si="9"/>
        <v>虚空礼包</v>
      </c>
      <c r="H180" s="7" t="str">
        <f t="shared" si="10"/>
        <v>["虚空礼包"]</v>
      </c>
      <c r="I180" s="13">
        <v>3</v>
      </c>
      <c r="J180" s="7">
        <v>68</v>
      </c>
      <c r="K180" t="str">
        <f t="shared" si="11"/>
        <v>虚空礼包</v>
      </c>
      <c r="L180">
        <v>14</v>
      </c>
    </row>
    <row r="181" spans="2:12">
      <c r="B181">
        <v>20072</v>
      </c>
      <c r="C181" t="s">
        <v>430</v>
      </c>
      <c r="D181" s="7" t="s">
        <v>431</v>
      </c>
      <c r="E181" s="12" t="s">
        <v>187</v>
      </c>
      <c r="F181" s="7" t="s">
        <v>27</v>
      </c>
      <c r="G181" t="str">
        <f t="shared" si="9"/>
        <v>烬天御神</v>
      </c>
      <c r="H181" s="7" t="str">
        <f t="shared" si="10"/>
        <v>["烬天御神"]</v>
      </c>
      <c r="I181" s="13">
        <v>1</v>
      </c>
      <c r="J181" s="7">
        <v>69</v>
      </c>
      <c r="K181" t="str">
        <f t="shared" si="11"/>
        <v>烬天御神</v>
      </c>
      <c r="L181" s="7">
        <v>72</v>
      </c>
    </row>
    <row r="182" spans="2:12">
      <c r="B182">
        <v>30072</v>
      </c>
      <c r="C182" t="s">
        <v>432</v>
      </c>
      <c r="D182" s="7" t="s">
        <v>433</v>
      </c>
      <c r="E182" s="12" t="s">
        <v>187</v>
      </c>
      <c r="F182" s="7" t="s">
        <v>27</v>
      </c>
      <c r="G182" t="str">
        <f t="shared" si="9"/>
        <v>妖刀重樱</v>
      </c>
      <c r="H182" s="7" t="str">
        <f t="shared" si="10"/>
        <v>["妖刀重樱"]</v>
      </c>
      <c r="I182" s="13">
        <v>1</v>
      </c>
      <c r="J182" s="7">
        <v>70</v>
      </c>
      <c r="K182" t="str">
        <f t="shared" si="11"/>
        <v>妖刀重樱</v>
      </c>
      <c r="L182" s="7">
        <v>72</v>
      </c>
    </row>
    <row r="183" spans="2:12">
      <c r="B183">
        <v>83</v>
      </c>
      <c r="C183" s="5" t="s">
        <v>434</v>
      </c>
      <c r="D183" s="7" t="s">
        <v>433</v>
      </c>
      <c r="E183" s="12" t="s">
        <v>187</v>
      </c>
      <c r="F183" s="7" t="s">
        <v>27</v>
      </c>
      <c r="G183" t="str">
        <f t="shared" ref="G183:G189" si="12">C183</f>
        <v>联盟拼刀刀</v>
      </c>
      <c r="H183" s="7" t="str">
        <f t="shared" ref="H183:H189" si="13">"["&amp;$M$51&amp;G183&amp;$M$51&amp;"]"</f>
        <v>["联盟拼刀刀"]</v>
      </c>
      <c r="I183" s="13">
        <v>1</v>
      </c>
      <c r="J183" s="7">
        <v>71</v>
      </c>
      <c r="K183" t="str">
        <f t="shared" ref="K183:K189" si="14">G183</f>
        <v>联盟拼刀刀</v>
      </c>
      <c r="L183" s="7">
        <v>83</v>
      </c>
    </row>
    <row r="184" customFormat="1" spans="2:12">
      <c r="B184">
        <v>85</v>
      </c>
      <c r="C184" s="5" t="s">
        <v>435</v>
      </c>
      <c r="D184" s="15" t="s">
        <v>436</v>
      </c>
      <c r="E184" s="16" t="s">
        <v>187</v>
      </c>
      <c r="F184" s="7" t="s">
        <v>27</v>
      </c>
      <c r="G184" t="str">
        <f t="shared" si="12"/>
        <v>遗迹探宝</v>
      </c>
      <c r="H184" s="7" t="str">
        <f t="shared" si="13"/>
        <v>["遗迹探宝"]</v>
      </c>
      <c r="I184" s="13">
        <v>1</v>
      </c>
      <c r="J184" s="7">
        <v>72</v>
      </c>
      <c r="K184" t="str">
        <f t="shared" si="14"/>
        <v>遗迹探宝</v>
      </c>
      <c r="L184" s="7">
        <v>85</v>
      </c>
    </row>
    <row r="185" customFormat="1" spans="2:12">
      <c r="B185">
        <v>60058</v>
      </c>
      <c r="C185" t="s">
        <v>437</v>
      </c>
      <c r="D185" s="15" t="s">
        <v>438</v>
      </c>
      <c r="E185" s="16" t="s">
        <v>318</v>
      </c>
      <c r="F185" s="7" t="s">
        <v>439</v>
      </c>
      <c r="G185" t="str">
        <f t="shared" si="12"/>
        <v>遗迹商店</v>
      </c>
      <c r="H185" s="7" t="str">
        <f t="shared" si="13"/>
        <v>["遗迹商店"]</v>
      </c>
      <c r="I185" s="13">
        <v>5</v>
      </c>
      <c r="J185" s="7">
        <v>72</v>
      </c>
      <c r="K185" t="str">
        <f t="shared" si="14"/>
        <v>遗迹商店</v>
      </c>
      <c r="L185">
        <v>58</v>
      </c>
    </row>
    <row r="186" customFormat="1" spans="2:12">
      <c r="B186">
        <v>220047</v>
      </c>
      <c r="C186" t="s">
        <v>440</v>
      </c>
      <c r="D186" s="15" t="s">
        <v>441</v>
      </c>
      <c r="E186" s="16" t="s">
        <v>442</v>
      </c>
      <c r="F186" s="7" t="s">
        <v>27</v>
      </c>
      <c r="G186" t="str">
        <f t="shared" si="12"/>
        <v>遗迹战令</v>
      </c>
      <c r="H186" s="7" t="str">
        <f t="shared" si="13"/>
        <v>["遗迹战令"]</v>
      </c>
      <c r="I186" s="13">
        <v>2</v>
      </c>
      <c r="J186" s="7">
        <v>72</v>
      </c>
      <c r="K186" t="str">
        <f t="shared" si="14"/>
        <v>遗迹战令</v>
      </c>
      <c r="L186">
        <v>47</v>
      </c>
    </row>
    <row r="187" customFormat="1" spans="2:12">
      <c r="B187">
        <v>260014</v>
      </c>
      <c r="C187" t="s">
        <v>443</v>
      </c>
      <c r="D187" s="15" t="s">
        <v>444</v>
      </c>
      <c r="E187" s="16" t="s">
        <v>445</v>
      </c>
      <c r="F187" s="7" t="s">
        <v>27</v>
      </c>
      <c r="G187" t="str">
        <f t="shared" si="12"/>
        <v>遗迹礼包</v>
      </c>
      <c r="H187" s="7" t="str">
        <f t="shared" si="13"/>
        <v>["遗迹礼包"]</v>
      </c>
      <c r="I187" s="13">
        <v>3</v>
      </c>
      <c r="J187" s="7">
        <v>72</v>
      </c>
      <c r="K187" t="str">
        <f t="shared" si="14"/>
        <v>遗迹礼包</v>
      </c>
      <c r="L187">
        <v>14</v>
      </c>
    </row>
    <row r="188" customFormat="1" spans="2:12">
      <c r="B188">
        <v>110055</v>
      </c>
      <c r="C188" t="s">
        <v>446</v>
      </c>
      <c r="D188" s="15" t="s">
        <v>447</v>
      </c>
      <c r="E188" s="16" t="s">
        <v>448</v>
      </c>
      <c r="F188" s="7" t="s">
        <v>27</v>
      </c>
      <c r="G188" t="str">
        <f t="shared" si="12"/>
        <v>遗迹任务</v>
      </c>
      <c r="H188" s="7" t="str">
        <f t="shared" si="13"/>
        <v>["遗迹任务"]</v>
      </c>
      <c r="I188" s="13">
        <v>2</v>
      </c>
      <c r="J188" s="7">
        <v>72</v>
      </c>
      <c r="K188" t="str">
        <f t="shared" si="14"/>
        <v>遗迹任务</v>
      </c>
      <c r="L188">
        <v>55</v>
      </c>
    </row>
    <row r="189" customFormat="1" spans="2:12">
      <c r="B189">
        <v>86</v>
      </c>
      <c r="C189" s="5" t="s">
        <v>449</v>
      </c>
      <c r="D189" s="17" t="s">
        <v>436</v>
      </c>
      <c r="E189" s="18" t="s">
        <v>187</v>
      </c>
      <c r="F189" s="7" t="s">
        <v>27</v>
      </c>
      <c r="G189" t="str">
        <f t="shared" si="12"/>
        <v>天使赠礼</v>
      </c>
      <c r="H189" s="7" t="str">
        <f t="shared" si="13"/>
        <v>["天使赠礼"]</v>
      </c>
      <c r="I189" s="13">
        <v>1</v>
      </c>
      <c r="J189" s="7">
        <v>73</v>
      </c>
      <c r="K189" t="str">
        <f t="shared" si="14"/>
        <v>天使赠礼</v>
      </c>
      <c r="L189" s="7">
        <v>86</v>
      </c>
    </row>
  </sheetData>
  <autoFilter xmlns:etc="http://www.wps.cn/officeDocument/2017/etCustomData" ref="A1:M188" etc:filterBottomFollowUsedRange="0">
    <extLst/>
  </autoFilter>
  <conditionalFormatting sqref="B5">
    <cfRule type="duplicateValues" dxfId="0" priority="47"/>
  </conditionalFormatting>
  <conditionalFormatting sqref="B136">
    <cfRule type="duplicateValues" dxfId="0" priority="44"/>
  </conditionalFormatting>
  <conditionalFormatting sqref="B137">
    <cfRule type="duplicateValues" dxfId="0" priority="43"/>
  </conditionalFormatting>
  <conditionalFormatting sqref="B160">
    <cfRule type="duplicateValues" dxfId="0" priority="45"/>
  </conditionalFormatting>
  <conditionalFormatting sqref="B169">
    <cfRule type="duplicateValues" dxfId="0" priority="31"/>
  </conditionalFormatting>
  <conditionalFormatting sqref="B170">
    <cfRule type="duplicateValues" dxfId="0" priority="30"/>
  </conditionalFormatting>
  <conditionalFormatting sqref="B171">
    <cfRule type="duplicateValues" dxfId="0" priority="29"/>
  </conditionalFormatting>
  <conditionalFormatting sqref="B172">
    <cfRule type="duplicateValues" dxfId="0" priority="28"/>
  </conditionalFormatting>
  <conditionalFormatting sqref="B173">
    <cfRule type="duplicateValues" dxfId="0" priority="27"/>
  </conditionalFormatting>
  <conditionalFormatting sqref="B174">
    <cfRule type="duplicateValues" dxfId="0" priority="26"/>
  </conditionalFormatting>
  <conditionalFormatting sqref="B175">
    <cfRule type="duplicateValues" dxfId="0" priority="25"/>
  </conditionalFormatting>
  <conditionalFormatting sqref="B176">
    <cfRule type="duplicateValues" dxfId="0" priority="24"/>
  </conditionalFormatting>
  <conditionalFormatting sqref="B177">
    <cfRule type="duplicateValues" dxfId="0" priority="21"/>
  </conditionalFormatting>
  <conditionalFormatting sqref="B181">
    <cfRule type="duplicateValues" dxfId="0" priority="17"/>
  </conditionalFormatting>
  <conditionalFormatting sqref="B184">
    <cfRule type="duplicateValues" dxfId="0" priority="11"/>
  </conditionalFormatting>
  <conditionalFormatting sqref="B185">
    <cfRule type="duplicateValues" dxfId="0" priority="10"/>
    <cfRule type="duplicateValues" dxfId="0" priority="9"/>
    <cfRule type="duplicateValues" dxfId="0" priority="8"/>
  </conditionalFormatting>
  <conditionalFormatting sqref="B186">
    <cfRule type="duplicateValues" dxfId="0" priority="7"/>
  </conditionalFormatting>
  <conditionalFormatting sqref="B187">
    <cfRule type="duplicateValues" dxfId="0" priority="6"/>
  </conditionalFormatting>
  <conditionalFormatting sqref="B188">
    <cfRule type="duplicateValues" dxfId="0" priority="5"/>
    <cfRule type="duplicateValues" dxfId="0" priority="4"/>
  </conditionalFormatting>
  <conditionalFormatting sqref="B189">
    <cfRule type="duplicateValues" dxfId="0" priority="2"/>
    <cfRule type="duplicateValues" dxfId="0" priority="1"/>
  </conditionalFormatting>
  <conditionalFormatting sqref="B1:B4">
    <cfRule type="duplicateValues" dxfId="0" priority="169"/>
  </conditionalFormatting>
  <conditionalFormatting sqref="B161:B165">
    <cfRule type="duplicateValues" dxfId="0" priority="42"/>
  </conditionalFormatting>
  <conditionalFormatting sqref="B166:B168">
    <cfRule type="duplicateValues" dxfId="0" priority="41"/>
  </conditionalFormatting>
  <conditionalFormatting sqref="B178:B180">
    <cfRule type="duplicateValues" dxfId="0" priority="20"/>
  </conditionalFormatting>
  <conditionalFormatting sqref="B182:B183">
    <cfRule type="duplicateValues" dxfId="0" priority="16"/>
  </conditionalFormatting>
  <conditionalFormatting sqref="B1:B188 B190:B1048576">
    <cfRule type="duplicateValues" dxfId="0" priority="3"/>
  </conditionalFormatting>
  <conditionalFormatting sqref="B1:B177 B190:B1048576">
    <cfRule type="duplicateValues" dxfId="0" priority="23"/>
  </conditionalFormatting>
  <conditionalFormatting sqref="B1:B135 B138:B159 B190:B1048576">
    <cfRule type="duplicateValues" dxfId="0" priority="46"/>
  </conditionalFormatting>
  <conditionalFormatting sqref="B1:B168 B190:B1048576">
    <cfRule type="duplicateValues" dxfId="0" priority="40"/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7"/>
  <sheetViews>
    <sheetView topLeftCell="A49" workbookViewId="0">
      <selection activeCell="H83" sqref="H83"/>
    </sheetView>
  </sheetViews>
  <sheetFormatPr defaultColWidth="9.25" defaultRowHeight="13.5"/>
  <cols>
    <col min="1" max="1" width="21.125" customWidth="1"/>
    <col min="3" max="3" width="18.125" customWidth="1"/>
    <col min="4" max="4" width="18.25" customWidth="1"/>
    <col min="5" max="5" width="18.875" customWidth="1"/>
    <col min="6" max="6" width="13.125" customWidth="1"/>
    <col min="7" max="7" width="20.375" customWidth="1"/>
    <col min="8" max="8" width="41.5" customWidth="1"/>
    <col min="9" max="9" width="13.125" customWidth="1"/>
    <col min="10" max="10" width="16.375" customWidth="1"/>
  </cols>
  <sheetData>
    <row r="1" ht="14.25" spans="1:11">
      <c r="A1" s="1" t="s">
        <v>450</v>
      </c>
      <c r="B1" s="1" t="s">
        <v>1</v>
      </c>
      <c r="C1" s="1" t="s">
        <v>451</v>
      </c>
      <c r="D1" s="1" t="s">
        <v>452</v>
      </c>
      <c r="E1" s="1" t="s">
        <v>453</v>
      </c>
      <c r="F1" s="1" t="s">
        <v>454</v>
      </c>
      <c r="G1" s="1" t="s">
        <v>455</v>
      </c>
      <c r="H1" s="1" t="s">
        <v>456</v>
      </c>
      <c r="I1" s="1" t="s">
        <v>457</v>
      </c>
      <c r="J1" s="1" t="s">
        <v>2</v>
      </c>
      <c r="K1" t="s">
        <v>458</v>
      </c>
    </row>
    <row r="2" ht="14.25" spans="1:10">
      <c r="A2" s="1"/>
      <c r="B2" s="1" t="s">
        <v>10</v>
      </c>
      <c r="C2" s="1" t="s">
        <v>459</v>
      </c>
      <c r="D2" s="1" t="s">
        <v>460</v>
      </c>
      <c r="E2" s="1" t="s">
        <v>16</v>
      </c>
      <c r="F2" s="1" t="s">
        <v>461</v>
      </c>
      <c r="G2" s="1" t="s">
        <v>462</v>
      </c>
      <c r="H2" s="1" t="s">
        <v>463</v>
      </c>
      <c r="I2" s="1" t="s">
        <v>464</v>
      </c>
      <c r="J2" s="1"/>
    </row>
    <row r="3" ht="14.25" spans="1:10">
      <c r="A3" s="1" t="s">
        <v>20</v>
      </c>
      <c r="B3" s="1" t="s">
        <v>21</v>
      </c>
      <c r="C3" s="1" t="s">
        <v>21</v>
      </c>
      <c r="D3" s="1" t="s">
        <v>21</v>
      </c>
      <c r="E3" s="1" t="s">
        <v>21</v>
      </c>
      <c r="F3" s="1" t="s">
        <v>21</v>
      </c>
      <c r="G3" s="1" t="s">
        <v>21</v>
      </c>
      <c r="H3" s="1" t="s">
        <v>22</v>
      </c>
      <c r="I3" s="1" t="s">
        <v>22</v>
      </c>
      <c r="J3" s="1"/>
    </row>
    <row r="4" ht="14.25" spans="1:10">
      <c r="A4" s="1" t="s">
        <v>23</v>
      </c>
      <c r="B4" s="1"/>
      <c r="C4" s="1"/>
      <c r="D4" s="1"/>
      <c r="E4" s="1"/>
      <c r="F4" s="1"/>
      <c r="G4" s="1"/>
      <c r="H4" s="1"/>
      <c r="I4" s="1"/>
      <c r="J4" s="1"/>
    </row>
    <row r="5" spans="2:11">
      <c r="B5">
        <v>1</v>
      </c>
      <c r="C5">
        <v>1</v>
      </c>
      <c r="D5">
        <v>1</v>
      </c>
      <c r="E5">
        <v>4</v>
      </c>
      <c r="F5">
        <v>0</v>
      </c>
      <c r="G5">
        <v>0</v>
      </c>
      <c r="H5" t="s">
        <v>465</v>
      </c>
      <c r="I5" t="s">
        <v>106</v>
      </c>
      <c r="J5" t="s">
        <v>106</v>
      </c>
      <c r="K5" t="s">
        <v>106</v>
      </c>
    </row>
    <row r="6" spans="2:11">
      <c r="B6">
        <v>2</v>
      </c>
      <c r="C6">
        <v>1</v>
      </c>
      <c r="D6">
        <v>1</v>
      </c>
      <c r="E6">
        <v>2</v>
      </c>
      <c r="F6">
        <v>1</v>
      </c>
      <c r="G6">
        <v>0</v>
      </c>
      <c r="H6" t="s">
        <v>466</v>
      </c>
      <c r="I6" t="s">
        <v>467</v>
      </c>
      <c r="J6" t="s">
        <v>468</v>
      </c>
      <c r="K6" t="s">
        <v>469</v>
      </c>
    </row>
    <row r="7" spans="2:10">
      <c r="B7">
        <v>3</v>
      </c>
      <c r="C7">
        <v>1</v>
      </c>
      <c r="D7">
        <v>1</v>
      </c>
      <c r="E7">
        <v>22</v>
      </c>
      <c r="F7">
        <v>0</v>
      </c>
      <c r="G7">
        <v>0</v>
      </c>
      <c r="H7" t="s">
        <v>470</v>
      </c>
      <c r="I7" t="s">
        <v>357</v>
      </c>
      <c r="J7" t="s">
        <v>357</v>
      </c>
    </row>
    <row r="8" spans="2:10">
      <c r="B8">
        <v>4</v>
      </c>
      <c r="C8">
        <v>1</v>
      </c>
      <c r="D8">
        <v>1</v>
      </c>
      <c r="E8">
        <v>23</v>
      </c>
      <c r="F8">
        <v>0</v>
      </c>
      <c r="G8">
        <v>0</v>
      </c>
      <c r="H8" t="s">
        <v>471</v>
      </c>
      <c r="I8" t="s">
        <v>358</v>
      </c>
      <c r="J8" t="s">
        <v>358</v>
      </c>
    </row>
    <row r="9" spans="2:11">
      <c r="B9">
        <v>5</v>
      </c>
      <c r="C9">
        <v>1</v>
      </c>
      <c r="D9">
        <v>1</v>
      </c>
      <c r="E9">
        <v>998</v>
      </c>
      <c r="F9">
        <v>0</v>
      </c>
      <c r="G9">
        <v>0</v>
      </c>
      <c r="I9" t="s">
        <v>116</v>
      </c>
      <c r="J9" t="s">
        <v>116</v>
      </c>
      <c r="K9" t="s">
        <v>116</v>
      </c>
    </row>
    <row r="10" spans="2:11">
      <c r="B10">
        <v>6</v>
      </c>
      <c r="C10">
        <v>1</v>
      </c>
      <c r="D10">
        <v>1</v>
      </c>
      <c r="E10">
        <v>3</v>
      </c>
      <c r="F10">
        <v>1</v>
      </c>
      <c r="G10">
        <v>0</v>
      </c>
      <c r="H10" t="s">
        <v>472</v>
      </c>
      <c r="I10" t="s">
        <v>473</v>
      </c>
      <c r="J10" t="s">
        <v>473</v>
      </c>
      <c r="K10" t="s">
        <v>474</v>
      </c>
    </row>
    <row r="11" spans="2:10">
      <c r="B11">
        <v>7</v>
      </c>
      <c r="C11">
        <v>1</v>
      </c>
      <c r="D11">
        <v>1</v>
      </c>
      <c r="E11">
        <v>24</v>
      </c>
      <c r="F11">
        <v>0</v>
      </c>
      <c r="G11">
        <v>0</v>
      </c>
      <c r="H11" t="s">
        <v>475</v>
      </c>
      <c r="I11" t="s">
        <v>476</v>
      </c>
      <c r="J11" t="s">
        <v>476</v>
      </c>
    </row>
    <row r="12" spans="2:11">
      <c r="B12" s="2">
        <v>8</v>
      </c>
      <c r="C12" s="2">
        <v>1</v>
      </c>
      <c r="D12" s="2">
        <v>1</v>
      </c>
      <c r="E12" s="2">
        <v>999</v>
      </c>
      <c r="F12" s="2">
        <v>0</v>
      </c>
      <c r="G12" s="2">
        <v>0</v>
      </c>
      <c r="H12" s="2"/>
      <c r="I12" s="2" t="s">
        <v>90</v>
      </c>
      <c r="J12" s="2" t="s">
        <v>90</v>
      </c>
      <c r="K12" t="s">
        <v>90</v>
      </c>
    </row>
    <row r="13" spans="2:11">
      <c r="B13" s="2">
        <v>16</v>
      </c>
      <c r="C13" s="2">
        <v>1</v>
      </c>
      <c r="D13" s="2">
        <v>1</v>
      </c>
      <c r="E13" s="2">
        <v>999</v>
      </c>
      <c r="F13" s="2">
        <v>0</v>
      </c>
      <c r="G13" s="2">
        <v>0</v>
      </c>
      <c r="H13" s="2"/>
      <c r="I13" s="2" t="s">
        <v>97</v>
      </c>
      <c r="J13" s="2" t="s">
        <v>97</v>
      </c>
      <c r="K13" t="s">
        <v>90</v>
      </c>
    </row>
    <row r="14" spans="2:11">
      <c r="B14">
        <v>17</v>
      </c>
      <c r="C14">
        <v>1</v>
      </c>
      <c r="D14">
        <v>1</v>
      </c>
      <c r="E14">
        <v>999</v>
      </c>
      <c r="F14">
        <v>0</v>
      </c>
      <c r="G14">
        <v>0</v>
      </c>
      <c r="I14" t="s">
        <v>99</v>
      </c>
      <c r="J14" t="s">
        <v>99</v>
      </c>
      <c r="K14" t="s">
        <v>90</v>
      </c>
    </row>
    <row r="15" spans="2:11">
      <c r="B15">
        <v>9</v>
      </c>
      <c r="C15">
        <v>0</v>
      </c>
      <c r="D15">
        <v>2</v>
      </c>
      <c r="E15">
        <v>1</v>
      </c>
      <c r="F15">
        <v>0</v>
      </c>
      <c r="G15">
        <v>1</v>
      </c>
      <c r="H15" t="s">
        <v>477</v>
      </c>
      <c r="I15" t="s">
        <v>64</v>
      </c>
      <c r="J15" t="s">
        <v>64</v>
      </c>
      <c r="K15" t="s">
        <v>64</v>
      </c>
    </row>
    <row r="16" spans="2:11">
      <c r="B16">
        <v>10</v>
      </c>
      <c r="C16">
        <v>0</v>
      </c>
      <c r="D16">
        <v>2</v>
      </c>
      <c r="E16">
        <v>2</v>
      </c>
      <c r="F16">
        <v>1</v>
      </c>
      <c r="G16">
        <v>0</v>
      </c>
      <c r="H16" t="s">
        <v>478</v>
      </c>
      <c r="I16" t="s">
        <v>479</v>
      </c>
      <c r="J16" t="s">
        <v>480</v>
      </c>
      <c r="K16" t="s">
        <v>481</v>
      </c>
    </row>
    <row r="17" spans="2:10">
      <c r="B17">
        <v>11</v>
      </c>
      <c r="C17">
        <v>1</v>
      </c>
      <c r="D17">
        <v>2</v>
      </c>
      <c r="E17">
        <v>6</v>
      </c>
      <c r="F17">
        <v>1</v>
      </c>
      <c r="G17">
        <v>0</v>
      </c>
      <c r="H17" t="s">
        <v>482</v>
      </c>
      <c r="I17" t="s">
        <v>171</v>
      </c>
      <c r="J17" t="s">
        <v>171</v>
      </c>
    </row>
    <row r="18" spans="2:10">
      <c r="B18">
        <v>12</v>
      </c>
      <c r="C18">
        <v>1</v>
      </c>
      <c r="D18">
        <v>2</v>
      </c>
      <c r="E18">
        <v>4</v>
      </c>
      <c r="F18">
        <v>0</v>
      </c>
      <c r="G18">
        <v>0</v>
      </c>
      <c r="H18" t="s">
        <v>483</v>
      </c>
      <c r="I18" t="s">
        <v>52</v>
      </c>
      <c r="J18" t="s">
        <v>52</v>
      </c>
    </row>
    <row r="19" spans="2:11">
      <c r="B19" s="2">
        <v>13</v>
      </c>
      <c r="C19" s="2">
        <v>1</v>
      </c>
      <c r="D19" s="2">
        <v>2</v>
      </c>
      <c r="E19" s="2">
        <v>999</v>
      </c>
      <c r="F19" s="2">
        <v>0</v>
      </c>
      <c r="G19" s="2">
        <v>0</v>
      </c>
      <c r="H19" s="2"/>
      <c r="I19" s="2" t="s">
        <v>66</v>
      </c>
      <c r="J19" s="2" t="s">
        <v>66</v>
      </c>
      <c r="K19" t="s">
        <v>484</v>
      </c>
    </row>
    <row r="20" spans="2:11">
      <c r="B20" s="2">
        <v>14</v>
      </c>
      <c r="C20" s="2">
        <v>1</v>
      </c>
      <c r="D20" s="2">
        <v>2</v>
      </c>
      <c r="E20" s="2">
        <v>7</v>
      </c>
      <c r="F20" s="2">
        <v>0</v>
      </c>
      <c r="G20" s="2">
        <v>0</v>
      </c>
      <c r="H20" s="2"/>
      <c r="I20" s="2" t="s">
        <v>485</v>
      </c>
      <c r="J20" s="2" t="s">
        <v>485</v>
      </c>
      <c r="K20" t="s">
        <v>486</v>
      </c>
    </row>
    <row r="21" spans="2:11">
      <c r="B21">
        <v>15</v>
      </c>
      <c r="C21">
        <v>1</v>
      </c>
      <c r="D21">
        <v>2</v>
      </c>
      <c r="E21">
        <v>999</v>
      </c>
      <c r="F21">
        <v>0</v>
      </c>
      <c r="G21">
        <v>0</v>
      </c>
      <c r="H21" t="s">
        <v>487</v>
      </c>
      <c r="I21" t="s">
        <v>67</v>
      </c>
      <c r="J21" t="s">
        <v>67</v>
      </c>
      <c r="K21" t="s">
        <v>488</v>
      </c>
    </row>
    <row r="22" spans="2:10">
      <c r="B22" s="2">
        <v>18</v>
      </c>
      <c r="C22" s="2">
        <v>1</v>
      </c>
      <c r="D22" s="2">
        <v>2</v>
      </c>
      <c r="E22" s="2">
        <v>997</v>
      </c>
      <c r="F22" s="2">
        <v>0</v>
      </c>
      <c r="G22" s="2">
        <v>0</v>
      </c>
      <c r="H22" s="2"/>
      <c r="I22" s="2" t="s">
        <v>489</v>
      </c>
      <c r="J22" s="2" t="s">
        <v>489</v>
      </c>
    </row>
    <row r="23" spans="2:10">
      <c r="B23">
        <v>19</v>
      </c>
      <c r="C23">
        <v>1</v>
      </c>
      <c r="D23">
        <v>1</v>
      </c>
      <c r="E23">
        <v>999</v>
      </c>
      <c r="F23">
        <v>0</v>
      </c>
      <c r="G23">
        <v>0</v>
      </c>
      <c r="H23" t="s">
        <v>490</v>
      </c>
      <c r="I23" t="s">
        <v>491</v>
      </c>
      <c r="J23" t="s">
        <v>491</v>
      </c>
    </row>
    <row r="24" spans="2:10">
      <c r="B24" s="2">
        <v>20</v>
      </c>
      <c r="C24" s="2">
        <v>1</v>
      </c>
      <c r="D24" s="2">
        <v>2</v>
      </c>
      <c r="E24" s="2">
        <v>102</v>
      </c>
      <c r="F24" s="2">
        <v>1</v>
      </c>
      <c r="G24" s="2">
        <v>1</v>
      </c>
      <c r="H24" s="2" t="s">
        <v>492</v>
      </c>
      <c r="I24" s="2" t="s">
        <v>271</v>
      </c>
      <c r="J24" s="2" t="s">
        <v>271</v>
      </c>
    </row>
    <row r="25" spans="2:10">
      <c r="B25" s="2">
        <v>21</v>
      </c>
      <c r="C25" s="2">
        <v>1</v>
      </c>
      <c r="D25" s="2">
        <v>2</v>
      </c>
      <c r="E25" s="2">
        <v>995</v>
      </c>
      <c r="F25" s="2">
        <v>0</v>
      </c>
      <c r="G25" s="2">
        <v>0</v>
      </c>
      <c r="H25" s="2"/>
      <c r="I25" s="2" t="s">
        <v>136</v>
      </c>
      <c r="J25" s="2" t="s">
        <v>136</v>
      </c>
    </row>
    <row r="26" spans="2:10">
      <c r="B26">
        <v>22</v>
      </c>
      <c r="C26">
        <v>1</v>
      </c>
      <c r="D26">
        <v>2</v>
      </c>
      <c r="E26">
        <v>8</v>
      </c>
      <c r="F26">
        <v>0</v>
      </c>
      <c r="G26">
        <v>1</v>
      </c>
      <c r="H26" t="s">
        <v>493</v>
      </c>
      <c r="I26" t="s">
        <v>140</v>
      </c>
      <c r="J26" t="s">
        <v>140</v>
      </c>
    </row>
    <row r="27" spans="2:10">
      <c r="B27">
        <v>23</v>
      </c>
      <c r="C27">
        <v>1</v>
      </c>
      <c r="D27">
        <v>2</v>
      </c>
      <c r="E27">
        <v>7</v>
      </c>
      <c r="F27">
        <v>0</v>
      </c>
      <c r="G27">
        <v>1</v>
      </c>
      <c r="H27" t="s">
        <v>494</v>
      </c>
      <c r="I27" t="s">
        <v>148</v>
      </c>
      <c r="J27" t="s">
        <v>148</v>
      </c>
    </row>
    <row r="28" spans="2:10">
      <c r="B28">
        <v>24</v>
      </c>
      <c r="C28">
        <v>1</v>
      </c>
      <c r="D28">
        <v>2</v>
      </c>
      <c r="E28">
        <v>5</v>
      </c>
      <c r="F28">
        <v>0</v>
      </c>
      <c r="G28">
        <v>0</v>
      </c>
      <c r="H28" t="s">
        <v>495</v>
      </c>
      <c r="I28" t="s">
        <v>152</v>
      </c>
      <c r="J28" t="s">
        <v>152</v>
      </c>
    </row>
    <row r="29" spans="2:10">
      <c r="B29">
        <v>25</v>
      </c>
      <c r="C29">
        <v>1</v>
      </c>
      <c r="D29">
        <v>1</v>
      </c>
      <c r="E29">
        <v>5</v>
      </c>
      <c r="F29">
        <v>1</v>
      </c>
      <c r="G29">
        <v>0</v>
      </c>
      <c r="H29" t="s">
        <v>496</v>
      </c>
      <c r="I29" t="s">
        <v>497</v>
      </c>
      <c r="J29" t="s">
        <v>497</v>
      </c>
    </row>
    <row r="30" spans="2:10">
      <c r="B30">
        <v>26</v>
      </c>
      <c r="C30">
        <v>0</v>
      </c>
      <c r="D30">
        <v>1</v>
      </c>
      <c r="E30">
        <v>1</v>
      </c>
      <c r="F30">
        <v>1</v>
      </c>
      <c r="G30">
        <v>0</v>
      </c>
      <c r="H30" t="s">
        <v>498</v>
      </c>
      <c r="I30" t="s">
        <v>159</v>
      </c>
      <c r="J30" t="s">
        <v>159</v>
      </c>
    </row>
    <row r="31" spans="2:10">
      <c r="B31">
        <v>27</v>
      </c>
      <c r="C31">
        <v>1</v>
      </c>
      <c r="D31">
        <v>2</v>
      </c>
      <c r="E31">
        <v>3</v>
      </c>
      <c r="F31">
        <v>1</v>
      </c>
      <c r="G31">
        <v>0</v>
      </c>
      <c r="H31" t="s">
        <v>499</v>
      </c>
      <c r="I31" t="s">
        <v>500</v>
      </c>
      <c r="J31" t="s">
        <v>500</v>
      </c>
    </row>
    <row r="32" spans="2:10">
      <c r="B32">
        <v>28</v>
      </c>
      <c r="C32">
        <v>1</v>
      </c>
      <c r="D32">
        <v>2</v>
      </c>
      <c r="E32">
        <v>101</v>
      </c>
      <c r="F32">
        <v>1</v>
      </c>
      <c r="G32">
        <v>1</v>
      </c>
      <c r="H32" t="s">
        <v>501</v>
      </c>
      <c r="I32" t="s">
        <v>178</v>
      </c>
      <c r="J32" t="s">
        <v>178</v>
      </c>
    </row>
    <row r="33" spans="2:10">
      <c r="B33">
        <v>29</v>
      </c>
      <c r="C33">
        <v>1</v>
      </c>
      <c r="D33">
        <v>2</v>
      </c>
      <c r="E33">
        <v>9</v>
      </c>
      <c r="F33">
        <v>0</v>
      </c>
      <c r="G33">
        <v>1</v>
      </c>
      <c r="H33" t="s">
        <v>502</v>
      </c>
      <c r="I33" t="s">
        <v>142</v>
      </c>
      <c r="J33" t="s">
        <v>142</v>
      </c>
    </row>
    <row r="34" spans="2:10">
      <c r="B34">
        <v>30</v>
      </c>
      <c r="C34">
        <v>1</v>
      </c>
      <c r="D34">
        <v>1</v>
      </c>
      <c r="E34">
        <v>7</v>
      </c>
      <c r="F34">
        <v>0</v>
      </c>
      <c r="G34">
        <v>1</v>
      </c>
      <c r="H34" t="s">
        <v>503</v>
      </c>
      <c r="I34" t="s">
        <v>188</v>
      </c>
      <c r="J34" t="s">
        <v>188</v>
      </c>
    </row>
    <row r="35" spans="2:10">
      <c r="B35">
        <v>31</v>
      </c>
      <c r="C35">
        <v>1</v>
      </c>
      <c r="D35">
        <v>2</v>
      </c>
      <c r="E35">
        <v>10</v>
      </c>
      <c r="F35">
        <v>0</v>
      </c>
      <c r="G35">
        <v>1</v>
      </c>
      <c r="H35" s="3" t="s">
        <v>504</v>
      </c>
      <c r="I35" t="s">
        <v>144</v>
      </c>
      <c r="J35" t="s">
        <v>144</v>
      </c>
    </row>
    <row r="36" spans="2:10">
      <c r="B36">
        <v>32</v>
      </c>
      <c r="C36">
        <v>1</v>
      </c>
      <c r="D36">
        <v>1</v>
      </c>
      <c r="E36">
        <v>8</v>
      </c>
      <c r="F36">
        <v>1</v>
      </c>
      <c r="G36">
        <v>0</v>
      </c>
      <c r="H36" t="s">
        <v>505</v>
      </c>
      <c r="I36" t="s">
        <v>189</v>
      </c>
      <c r="J36" t="s">
        <v>506</v>
      </c>
    </row>
    <row r="37" spans="2:11">
      <c r="B37">
        <v>33</v>
      </c>
      <c r="C37">
        <v>1</v>
      </c>
      <c r="D37">
        <v>1</v>
      </c>
      <c r="E37">
        <v>6</v>
      </c>
      <c r="F37">
        <v>1</v>
      </c>
      <c r="G37">
        <v>1</v>
      </c>
      <c r="H37" t="s">
        <v>507</v>
      </c>
      <c r="I37" t="s">
        <v>508</v>
      </c>
      <c r="J37" t="s">
        <v>508</v>
      </c>
      <c r="K37" t="s">
        <v>509</v>
      </c>
    </row>
    <row r="38" spans="2:10">
      <c r="B38">
        <v>34</v>
      </c>
      <c r="C38">
        <v>1</v>
      </c>
      <c r="D38">
        <v>2</v>
      </c>
      <c r="E38">
        <v>1</v>
      </c>
      <c r="F38">
        <v>1</v>
      </c>
      <c r="G38">
        <v>0</v>
      </c>
      <c r="H38" t="s">
        <v>510</v>
      </c>
      <c r="I38" t="s">
        <v>203</v>
      </c>
      <c r="J38" t="s">
        <v>203</v>
      </c>
    </row>
    <row r="39" spans="2:10">
      <c r="B39">
        <v>35</v>
      </c>
      <c r="C39">
        <v>1</v>
      </c>
      <c r="D39">
        <v>1</v>
      </c>
      <c r="E39">
        <v>9</v>
      </c>
      <c r="F39">
        <v>1</v>
      </c>
      <c r="G39">
        <v>0</v>
      </c>
      <c r="H39" t="s">
        <v>511</v>
      </c>
      <c r="I39" t="s">
        <v>512</v>
      </c>
      <c r="J39" t="s">
        <v>513</v>
      </c>
    </row>
    <row r="40" spans="2:10">
      <c r="B40">
        <v>36</v>
      </c>
      <c r="C40">
        <v>1</v>
      </c>
      <c r="D40">
        <v>1</v>
      </c>
      <c r="E40">
        <v>10</v>
      </c>
      <c r="F40">
        <v>1</v>
      </c>
      <c r="G40">
        <v>0</v>
      </c>
      <c r="H40" t="s">
        <v>514</v>
      </c>
      <c r="I40" t="s">
        <v>515</v>
      </c>
      <c r="J40" t="s">
        <v>516</v>
      </c>
    </row>
    <row r="41" spans="2:10">
      <c r="B41">
        <v>37</v>
      </c>
      <c r="C41">
        <v>1</v>
      </c>
      <c r="D41">
        <v>2</v>
      </c>
      <c r="E41">
        <v>103</v>
      </c>
      <c r="F41">
        <v>1</v>
      </c>
      <c r="G41">
        <v>1</v>
      </c>
      <c r="H41" t="s">
        <v>517</v>
      </c>
      <c r="I41" t="s">
        <v>518</v>
      </c>
      <c r="J41" t="s">
        <v>519</v>
      </c>
    </row>
    <row r="42" spans="2:10">
      <c r="B42">
        <v>38</v>
      </c>
      <c r="C42">
        <v>1</v>
      </c>
      <c r="D42">
        <v>1</v>
      </c>
      <c r="E42">
        <v>11</v>
      </c>
      <c r="F42">
        <v>1</v>
      </c>
      <c r="G42">
        <v>0</v>
      </c>
      <c r="H42" t="s">
        <v>520</v>
      </c>
      <c r="I42" t="s">
        <v>521</v>
      </c>
      <c r="J42" t="s">
        <v>521</v>
      </c>
    </row>
    <row r="43" spans="2:10">
      <c r="B43">
        <v>39</v>
      </c>
      <c r="C43">
        <v>1</v>
      </c>
      <c r="D43">
        <v>1</v>
      </c>
      <c r="E43">
        <v>12</v>
      </c>
      <c r="F43">
        <v>1</v>
      </c>
      <c r="G43">
        <v>0</v>
      </c>
      <c r="H43" t="s">
        <v>522</v>
      </c>
      <c r="I43" t="s">
        <v>523</v>
      </c>
      <c r="J43" t="s">
        <v>524</v>
      </c>
    </row>
    <row r="44" spans="2:10">
      <c r="B44">
        <v>40</v>
      </c>
      <c r="C44">
        <v>1</v>
      </c>
      <c r="D44">
        <v>2</v>
      </c>
      <c r="E44">
        <v>1</v>
      </c>
      <c r="F44">
        <v>1</v>
      </c>
      <c r="G44">
        <v>0</v>
      </c>
      <c r="H44" t="s">
        <v>525</v>
      </c>
      <c r="I44" t="s">
        <v>267</v>
      </c>
      <c r="J44" t="s">
        <v>267</v>
      </c>
    </row>
    <row r="45" spans="2:10">
      <c r="B45">
        <v>41</v>
      </c>
      <c r="C45">
        <v>1</v>
      </c>
      <c r="D45">
        <v>2</v>
      </c>
      <c r="E45">
        <v>102</v>
      </c>
      <c r="F45">
        <v>1</v>
      </c>
      <c r="G45">
        <v>1</v>
      </c>
      <c r="H45" t="s">
        <v>492</v>
      </c>
      <c r="I45" t="s">
        <v>271</v>
      </c>
      <c r="J45" t="s">
        <v>271</v>
      </c>
    </row>
    <row r="46" spans="2:10">
      <c r="B46">
        <v>42</v>
      </c>
      <c r="C46">
        <v>1</v>
      </c>
      <c r="D46">
        <v>1</v>
      </c>
      <c r="E46">
        <v>11</v>
      </c>
      <c r="F46">
        <v>1</v>
      </c>
      <c r="G46">
        <v>0</v>
      </c>
      <c r="H46" t="s">
        <v>520</v>
      </c>
      <c r="I46" t="s">
        <v>521</v>
      </c>
      <c r="J46" t="s">
        <v>526</v>
      </c>
    </row>
    <row r="47" spans="2:10">
      <c r="B47">
        <v>43</v>
      </c>
      <c r="C47">
        <v>1</v>
      </c>
      <c r="D47">
        <v>1</v>
      </c>
      <c r="E47">
        <v>12</v>
      </c>
      <c r="F47">
        <v>1</v>
      </c>
      <c r="G47">
        <v>0</v>
      </c>
      <c r="H47" s="3" t="s">
        <v>527</v>
      </c>
      <c r="I47" t="s">
        <v>286</v>
      </c>
      <c r="J47" t="s">
        <v>289</v>
      </c>
    </row>
    <row r="48" spans="2:10">
      <c r="B48">
        <v>44</v>
      </c>
      <c r="C48">
        <v>1</v>
      </c>
      <c r="D48">
        <v>1</v>
      </c>
      <c r="E48">
        <v>13</v>
      </c>
      <c r="F48">
        <v>1</v>
      </c>
      <c r="G48">
        <v>0</v>
      </c>
      <c r="H48" s="3" t="s">
        <v>528</v>
      </c>
      <c r="I48" t="s">
        <v>529</v>
      </c>
      <c r="J48" t="s">
        <v>530</v>
      </c>
    </row>
    <row r="49" spans="2:10">
      <c r="B49">
        <v>45</v>
      </c>
      <c r="C49">
        <v>1</v>
      </c>
      <c r="D49">
        <v>1</v>
      </c>
      <c r="E49">
        <v>13</v>
      </c>
      <c r="F49">
        <v>1</v>
      </c>
      <c r="G49">
        <v>0</v>
      </c>
      <c r="H49" s="3" t="s">
        <v>531</v>
      </c>
      <c r="I49" t="s">
        <v>292</v>
      </c>
      <c r="J49" t="s">
        <v>532</v>
      </c>
    </row>
    <row r="50" spans="2:10">
      <c r="B50">
        <v>46</v>
      </c>
      <c r="C50">
        <v>1</v>
      </c>
      <c r="D50">
        <v>1</v>
      </c>
      <c r="E50">
        <v>14</v>
      </c>
      <c r="F50">
        <v>1</v>
      </c>
      <c r="G50">
        <v>0</v>
      </c>
      <c r="H50" t="s">
        <v>505</v>
      </c>
      <c r="I50" t="s">
        <v>189</v>
      </c>
      <c r="J50" t="s">
        <v>189</v>
      </c>
    </row>
    <row r="51" spans="2:10">
      <c r="B51">
        <v>47</v>
      </c>
      <c r="C51">
        <v>1</v>
      </c>
      <c r="D51">
        <v>1</v>
      </c>
      <c r="E51">
        <v>15</v>
      </c>
      <c r="F51">
        <v>1</v>
      </c>
      <c r="G51">
        <v>0</v>
      </c>
      <c r="H51" t="s">
        <v>533</v>
      </c>
      <c r="I51" t="s">
        <v>534</v>
      </c>
      <c r="J51" t="s">
        <v>535</v>
      </c>
    </row>
    <row r="52" spans="2:10">
      <c r="B52">
        <v>48</v>
      </c>
      <c r="C52">
        <v>1</v>
      </c>
      <c r="D52">
        <v>1</v>
      </c>
      <c r="E52">
        <v>16</v>
      </c>
      <c r="F52">
        <v>1</v>
      </c>
      <c r="G52">
        <v>0</v>
      </c>
      <c r="H52" t="s">
        <v>536</v>
      </c>
      <c r="I52" t="s">
        <v>316</v>
      </c>
      <c r="J52" t="s">
        <v>537</v>
      </c>
    </row>
    <row r="53" spans="2:10">
      <c r="B53">
        <v>49</v>
      </c>
      <c r="C53">
        <v>1</v>
      </c>
      <c r="D53">
        <v>2</v>
      </c>
      <c r="E53">
        <v>104</v>
      </c>
      <c r="F53">
        <v>1</v>
      </c>
      <c r="G53">
        <v>1</v>
      </c>
      <c r="H53" t="s">
        <v>538</v>
      </c>
      <c r="I53" t="s">
        <v>319</v>
      </c>
      <c r="J53" t="s">
        <v>539</v>
      </c>
    </row>
    <row r="54" spans="2:10">
      <c r="B54">
        <v>50</v>
      </c>
      <c r="C54">
        <v>1</v>
      </c>
      <c r="D54">
        <v>1</v>
      </c>
      <c r="E54">
        <v>13</v>
      </c>
      <c r="F54">
        <v>1</v>
      </c>
      <c r="G54">
        <v>0</v>
      </c>
      <c r="H54" s="3" t="s">
        <v>531</v>
      </c>
      <c r="I54" t="s">
        <v>292</v>
      </c>
      <c r="J54" t="s">
        <v>540</v>
      </c>
    </row>
    <row r="55" spans="2:10">
      <c r="B55">
        <v>51</v>
      </c>
      <c r="C55">
        <v>1</v>
      </c>
      <c r="D55">
        <v>1</v>
      </c>
      <c r="E55">
        <v>16</v>
      </c>
      <c r="F55">
        <v>1</v>
      </c>
      <c r="G55">
        <v>0</v>
      </c>
      <c r="H55" t="s">
        <v>536</v>
      </c>
      <c r="I55" t="s">
        <v>316</v>
      </c>
      <c r="J55" t="s">
        <v>541</v>
      </c>
    </row>
    <row r="56" spans="2:10">
      <c r="B56">
        <v>52</v>
      </c>
      <c r="C56">
        <v>1</v>
      </c>
      <c r="D56">
        <v>1</v>
      </c>
      <c r="E56">
        <v>16</v>
      </c>
      <c r="F56">
        <v>1</v>
      </c>
      <c r="G56">
        <v>0</v>
      </c>
      <c r="H56" t="s">
        <v>542</v>
      </c>
      <c r="I56" t="s">
        <v>543</v>
      </c>
      <c r="J56" t="s">
        <v>544</v>
      </c>
    </row>
    <row r="57" spans="2:10">
      <c r="B57">
        <v>53</v>
      </c>
      <c r="C57">
        <v>1</v>
      </c>
      <c r="D57">
        <v>1</v>
      </c>
      <c r="E57">
        <v>17</v>
      </c>
      <c r="F57">
        <v>1</v>
      </c>
      <c r="G57">
        <v>0</v>
      </c>
      <c r="H57" t="s">
        <v>545</v>
      </c>
      <c r="I57" t="s">
        <v>546</v>
      </c>
      <c r="J57" t="s">
        <v>341</v>
      </c>
    </row>
    <row r="58" spans="2:10">
      <c r="B58">
        <v>54</v>
      </c>
      <c r="C58">
        <v>1</v>
      </c>
      <c r="D58">
        <v>1</v>
      </c>
      <c r="E58">
        <v>18</v>
      </c>
      <c r="F58">
        <v>0</v>
      </c>
      <c r="G58">
        <v>0</v>
      </c>
      <c r="H58" t="s">
        <v>547</v>
      </c>
      <c r="I58" t="s">
        <v>548</v>
      </c>
      <c r="J58" t="s">
        <v>549</v>
      </c>
    </row>
    <row r="59" spans="2:10">
      <c r="B59">
        <v>55</v>
      </c>
      <c r="C59">
        <v>1</v>
      </c>
      <c r="D59">
        <v>2</v>
      </c>
      <c r="E59">
        <v>14</v>
      </c>
      <c r="F59">
        <v>1</v>
      </c>
      <c r="G59">
        <v>0</v>
      </c>
      <c r="H59" t="s">
        <v>550</v>
      </c>
      <c r="I59" t="s">
        <v>551</v>
      </c>
      <c r="J59" t="s">
        <v>552</v>
      </c>
    </row>
    <row r="60" spans="2:10">
      <c r="B60">
        <v>56</v>
      </c>
      <c r="C60">
        <v>1</v>
      </c>
      <c r="D60">
        <v>2</v>
      </c>
      <c r="E60">
        <v>105</v>
      </c>
      <c r="F60">
        <v>1</v>
      </c>
      <c r="G60">
        <v>1</v>
      </c>
      <c r="H60" t="s">
        <v>501</v>
      </c>
      <c r="I60" t="s">
        <v>178</v>
      </c>
      <c r="J60" t="s">
        <v>178</v>
      </c>
    </row>
    <row r="61" spans="2:10">
      <c r="B61">
        <v>57</v>
      </c>
      <c r="C61">
        <v>1</v>
      </c>
      <c r="D61">
        <v>1</v>
      </c>
      <c r="E61">
        <v>20</v>
      </c>
      <c r="F61">
        <v>1</v>
      </c>
      <c r="G61">
        <v>0</v>
      </c>
      <c r="H61" t="s">
        <v>553</v>
      </c>
      <c r="I61" t="s">
        <v>554</v>
      </c>
      <c r="J61" t="s">
        <v>552</v>
      </c>
    </row>
    <row r="62" spans="2:10">
      <c r="B62">
        <v>58</v>
      </c>
      <c r="C62">
        <v>1</v>
      </c>
      <c r="D62">
        <v>2</v>
      </c>
      <c r="E62">
        <v>12</v>
      </c>
      <c r="F62">
        <v>1</v>
      </c>
      <c r="G62">
        <v>1</v>
      </c>
      <c r="H62" t="s">
        <v>555</v>
      </c>
      <c r="I62" t="s">
        <v>355</v>
      </c>
      <c r="J62" t="s">
        <v>556</v>
      </c>
    </row>
    <row r="63" spans="2:10">
      <c r="B63">
        <v>59</v>
      </c>
      <c r="C63">
        <v>1</v>
      </c>
      <c r="D63">
        <v>1</v>
      </c>
      <c r="E63">
        <v>21</v>
      </c>
      <c r="F63">
        <v>0</v>
      </c>
      <c r="G63">
        <v>0</v>
      </c>
      <c r="H63" t="s">
        <v>557</v>
      </c>
      <c r="I63" t="s">
        <v>360</v>
      </c>
      <c r="J63" t="s">
        <v>360</v>
      </c>
    </row>
    <row r="64" spans="2:10">
      <c r="B64">
        <v>60</v>
      </c>
      <c r="C64">
        <v>1</v>
      </c>
      <c r="D64">
        <v>2</v>
      </c>
      <c r="E64">
        <v>15</v>
      </c>
      <c r="F64">
        <v>1</v>
      </c>
      <c r="G64">
        <v>0</v>
      </c>
      <c r="H64" t="s">
        <v>558</v>
      </c>
      <c r="I64" t="s">
        <v>559</v>
      </c>
      <c r="J64" t="s">
        <v>560</v>
      </c>
    </row>
    <row r="65" spans="2:10">
      <c r="B65">
        <v>61</v>
      </c>
      <c r="C65">
        <v>1</v>
      </c>
      <c r="D65">
        <v>2</v>
      </c>
      <c r="E65">
        <v>106</v>
      </c>
      <c r="F65">
        <v>1</v>
      </c>
      <c r="G65">
        <v>0</v>
      </c>
      <c r="H65" t="s">
        <v>561</v>
      </c>
      <c r="I65" t="s">
        <v>363</v>
      </c>
      <c r="J65" t="s">
        <v>363</v>
      </c>
    </row>
    <row r="66" spans="2:10">
      <c r="B66">
        <v>62</v>
      </c>
      <c r="C66">
        <v>1</v>
      </c>
      <c r="D66">
        <v>2</v>
      </c>
      <c r="E66">
        <v>11</v>
      </c>
      <c r="F66">
        <v>0</v>
      </c>
      <c r="G66">
        <v>1</v>
      </c>
      <c r="H66" s="3" t="s">
        <v>562</v>
      </c>
      <c r="I66" t="s">
        <v>146</v>
      </c>
      <c r="J66" t="s">
        <v>146</v>
      </c>
    </row>
    <row r="67" spans="2:10">
      <c r="B67">
        <v>63</v>
      </c>
      <c r="C67">
        <v>1</v>
      </c>
      <c r="D67">
        <v>2</v>
      </c>
      <c r="E67">
        <v>107</v>
      </c>
      <c r="F67">
        <v>1</v>
      </c>
      <c r="G67">
        <v>0</v>
      </c>
      <c r="H67" t="s">
        <v>563</v>
      </c>
      <c r="I67" t="s">
        <v>377</v>
      </c>
      <c r="J67" t="s">
        <v>377</v>
      </c>
    </row>
    <row r="68" spans="2:10">
      <c r="B68">
        <v>64</v>
      </c>
      <c r="C68">
        <v>1</v>
      </c>
      <c r="D68">
        <v>2</v>
      </c>
      <c r="E68">
        <v>13</v>
      </c>
      <c r="F68">
        <v>1</v>
      </c>
      <c r="G68">
        <v>1</v>
      </c>
      <c r="H68" t="s">
        <v>564</v>
      </c>
      <c r="I68" t="s">
        <v>391</v>
      </c>
      <c r="J68" t="s">
        <v>556</v>
      </c>
    </row>
    <row r="69" spans="2:10">
      <c r="B69">
        <v>65</v>
      </c>
      <c r="C69">
        <v>1</v>
      </c>
      <c r="D69">
        <v>2</v>
      </c>
      <c r="E69">
        <v>108</v>
      </c>
      <c r="F69">
        <v>1</v>
      </c>
      <c r="G69">
        <v>0</v>
      </c>
      <c r="H69" t="s">
        <v>565</v>
      </c>
      <c r="I69" t="s">
        <v>393</v>
      </c>
      <c r="J69" t="s">
        <v>393</v>
      </c>
    </row>
    <row r="70" spans="2:10">
      <c r="B70">
        <v>66</v>
      </c>
      <c r="C70">
        <v>1</v>
      </c>
      <c r="D70">
        <v>2</v>
      </c>
      <c r="E70">
        <v>109</v>
      </c>
      <c r="F70">
        <v>1</v>
      </c>
      <c r="G70">
        <v>1</v>
      </c>
      <c r="H70" t="s">
        <v>566</v>
      </c>
      <c r="I70" t="s">
        <v>567</v>
      </c>
      <c r="J70" t="s">
        <v>568</v>
      </c>
    </row>
    <row r="71" spans="2:10">
      <c r="B71">
        <v>67</v>
      </c>
      <c r="C71">
        <v>1</v>
      </c>
      <c r="D71">
        <v>1</v>
      </c>
      <c r="E71">
        <v>25</v>
      </c>
      <c r="F71">
        <v>0</v>
      </c>
      <c r="G71">
        <v>0</v>
      </c>
      <c r="H71" t="s">
        <v>569</v>
      </c>
      <c r="I71" t="s">
        <v>425</v>
      </c>
      <c r="J71" t="s">
        <v>425</v>
      </c>
    </row>
    <row r="72" spans="2:10">
      <c r="B72">
        <v>68</v>
      </c>
      <c r="C72">
        <v>1</v>
      </c>
      <c r="D72">
        <v>2</v>
      </c>
      <c r="E72">
        <v>14</v>
      </c>
      <c r="F72">
        <v>1</v>
      </c>
      <c r="G72">
        <v>1</v>
      </c>
      <c r="H72" t="s">
        <v>570</v>
      </c>
      <c r="I72" t="s">
        <v>426</v>
      </c>
      <c r="J72" t="s">
        <v>571</v>
      </c>
    </row>
    <row r="73" spans="2:10">
      <c r="B73">
        <v>69</v>
      </c>
      <c r="C73">
        <v>1</v>
      </c>
      <c r="D73">
        <v>2</v>
      </c>
      <c r="E73">
        <v>15</v>
      </c>
      <c r="F73">
        <v>1</v>
      </c>
      <c r="G73">
        <v>1</v>
      </c>
      <c r="H73" t="s">
        <v>572</v>
      </c>
      <c r="I73" t="s">
        <v>430</v>
      </c>
      <c r="J73" t="s">
        <v>430</v>
      </c>
    </row>
    <row r="74" spans="2:10">
      <c r="B74">
        <v>70</v>
      </c>
      <c r="C74">
        <v>1</v>
      </c>
      <c r="D74">
        <v>2</v>
      </c>
      <c r="E74">
        <v>16</v>
      </c>
      <c r="F74">
        <v>1</v>
      </c>
      <c r="G74">
        <v>1</v>
      </c>
      <c r="H74" t="s">
        <v>573</v>
      </c>
      <c r="I74" t="s">
        <v>432</v>
      </c>
      <c r="J74" t="s">
        <v>432</v>
      </c>
    </row>
    <row r="75" spans="2:10">
      <c r="B75">
        <v>71</v>
      </c>
      <c r="C75">
        <v>1</v>
      </c>
      <c r="D75">
        <v>2</v>
      </c>
      <c r="E75">
        <v>17</v>
      </c>
      <c r="F75">
        <v>0</v>
      </c>
      <c r="G75">
        <v>0</v>
      </c>
      <c r="H75" t="s">
        <v>573</v>
      </c>
      <c r="I75" s="5" t="s">
        <v>434</v>
      </c>
      <c r="J75" s="5" t="s">
        <v>434</v>
      </c>
    </row>
    <row r="76" customFormat="1" spans="2:10">
      <c r="B76">
        <v>72</v>
      </c>
      <c r="C76">
        <v>1</v>
      </c>
      <c r="D76">
        <v>2</v>
      </c>
      <c r="E76">
        <v>110</v>
      </c>
      <c r="F76">
        <v>1</v>
      </c>
      <c r="G76">
        <v>0</v>
      </c>
      <c r="H76" t="s">
        <v>574</v>
      </c>
      <c r="I76" t="s">
        <v>435</v>
      </c>
      <c r="J76" t="s">
        <v>435</v>
      </c>
    </row>
    <row r="77" customFormat="1" spans="2:10">
      <c r="B77">
        <v>73</v>
      </c>
      <c r="C77">
        <v>1</v>
      </c>
      <c r="D77">
        <v>1</v>
      </c>
      <c r="E77">
        <v>26</v>
      </c>
      <c r="F77">
        <v>1</v>
      </c>
      <c r="G77">
        <v>0</v>
      </c>
      <c r="H77" s="4" t="s">
        <v>574</v>
      </c>
      <c r="I77" t="s">
        <v>449</v>
      </c>
      <c r="J77" t="s">
        <v>449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t_activity_img</vt:lpstr>
      <vt:lpstr>t_activity_entrance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WPS_1566977829</cp:lastModifiedBy>
  <dcterms:created xsi:type="dcterms:W3CDTF">2023-05-17T03:15:00Z</dcterms:created>
  <dcterms:modified xsi:type="dcterms:W3CDTF">2025-05-12T07:39:49Z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6BC65EEA5D094A9EB315CB42DF2AB0BD_12</vt:lpwstr>
  </property>
  <property fmtid="{D5CDD505-2E9C-101B-9397-08002B2CF9AE}" pid="4" name="KSOReadingLayout">
    <vt:bool>true</vt:bool>
  </property>
</Properties>
</file>